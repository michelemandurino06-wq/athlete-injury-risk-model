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Universita\ROMA (UCBM)\SCHEDE CORSI\Percorso di Eccellenza\1° ANNO\Variabili casuali in statistica (OK!)\"/>
    </mc:Choice>
  </mc:AlternateContent>
  <bookViews>
    <workbookView xWindow="0" yWindow="0" windowWidth="16380" windowHeight="8196" tabRatio="500" activeTab="1"/>
  </bookViews>
  <sheets>
    <sheet name="Descrizione" sheetId="4" r:id="rId1"/>
    <sheet name="Dataset" sheetId="1" r:id="rId2"/>
  </sheets>
  <definedNames>
    <definedName name="solver_adj" localSheetId="1" hidden="1">Dataset!$V$11:$V$17</definedName>
    <definedName name="solver_cvg" localSheetId="1" hidden="1">0.0000000001</definedName>
    <definedName name="solver_drv" localSheetId="1" hidden="1">1</definedName>
    <definedName name="solver_eng" localSheetId="1" hidden="1">1</definedName>
    <definedName name="solver_est" localSheetId="1" hidden="1">1</definedName>
    <definedName name="solver_itr" localSheetId="1" hidden="1">200</definedName>
    <definedName name="solver_lhs1" localSheetId="1" hidden="1">Dataset!$V$11:$V$16</definedName>
    <definedName name="solver_lhs2" localSheetId="1" hidden="1">Dataset!$V$11:$V$16</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2</definedName>
    <definedName name="solver_nwt" localSheetId="1" hidden="1">1</definedName>
    <definedName name="solver_opt" localSheetId="1" hidden="1">Dataset!$V$20</definedName>
    <definedName name="solver_pre" localSheetId="1" hidden="1">0.0000001</definedName>
    <definedName name="solver_rbv" localSheetId="1" hidden="1">1</definedName>
    <definedName name="solver_rel1" localSheetId="1" hidden="1">1</definedName>
    <definedName name="solver_rel2" localSheetId="1" hidden="1">3</definedName>
    <definedName name="solver_rhs1" localSheetId="1" hidden="1">3</definedName>
    <definedName name="solver_rhs2" localSheetId="1" hidden="1">-3</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1</definedName>
    <definedName name="solver_val" localSheetId="1" hidden="1">0</definedName>
    <definedName name="solver_ver" localSheetId="1" hidden="1">3</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R6" i="1" l="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5" i="1"/>
  <c r="D6" i="1" l="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5" i="1"/>
  <c r="W8" i="1" l="1"/>
  <c r="J940" i="1" s="1"/>
  <c r="V8" i="1"/>
  <c r="W7" i="1"/>
  <c r="V7" i="1"/>
  <c r="W6" i="1"/>
  <c r="V6" i="1"/>
  <c r="W5" i="1"/>
  <c r="V5" i="1"/>
  <c r="W4" i="1"/>
  <c r="V4" i="1"/>
  <c r="W3" i="1"/>
  <c r="V3" i="1"/>
  <c r="J11" i="1" l="1"/>
  <c r="J39" i="1"/>
  <c r="J412" i="1"/>
  <c r="J613" i="1"/>
  <c r="J438" i="1"/>
  <c r="J999" i="1"/>
  <c r="J553" i="1"/>
  <c r="J123" i="1"/>
  <c r="J6" i="1"/>
  <c r="J348" i="1"/>
  <c r="J421" i="1"/>
  <c r="J414" i="1"/>
  <c r="J821" i="1"/>
  <c r="J297" i="1"/>
  <c r="J35" i="1"/>
  <c r="J452" i="1"/>
  <c r="J90" i="1"/>
  <c r="J52" i="1"/>
  <c r="J204" i="1"/>
  <c r="J29" i="1"/>
  <c r="J38" i="1"/>
  <c r="J98" i="1"/>
  <c r="J862" i="1"/>
  <c r="J427" i="1"/>
  <c r="J76" i="1"/>
  <c r="J212" i="1"/>
  <c r="J37" i="1"/>
  <c r="J182" i="1"/>
  <c r="J130" i="1"/>
  <c r="J869" i="1"/>
  <c r="J987" i="1"/>
  <c r="J71" i="1"/>
  <c r="J629" i="1"/>
  <c r="J92" i="1"/>
  <c r="J236" i="1"/>
  <c r="J85" i="1"/>
  <c r="J198" i="1"/>
  <c r="J652" i="1"/>
  <c r="J678" i="1"/>
  <c r="J799" i="1"/>
  <c r="J148" i="1"/>
  <c r="J300" i="1"/>
  <c r="J341" i="1"/>
  <c r="J238" i="1"/>
  <c r="J708" i="1"/>
  <c r="J96" i="1"/>
  <c r="J624" i="1"/>
  <c r="N243" i="1"/>
  <c r="J180" i="1"/>
  <c r="J340" i="1"/>
  <c r="J349" i="1"/>
  <c r="J390" i="1"/>
  <c r="J964" i="1"/>
  <c r="J41" i="1"/>
  <c r="J490" i="1"/>
  <c r="J19" i="1"/>
  <c r="J140" i="1"/>
  <c r="J63" i="1"/>
  <c r="J260" i="1"/>
  <c r="J428" i="1"/>
  <c r="J157" i="1"/>
  <c r="J485" i="1"/>
  <c r="J94" i="1"/>
  <c r="J294" i="1"/>
  <c r="J494" i="1"/>
  <c r="J508" i="1"/>
  <c r="J772" i="1"/>
  <c r="J909" i="1"/>
  <c r="J894" i="1"/>
  <c r="J949" i="1"/>
  <c r="J702" i="1"/>
  <c r="J120" i="1"/>
  <c r="J65" i="1"/>
  <c r="J321" i="1"/>
  <c r="J577" i="1"/>
  <c r="J147" i="1"/>
  <c r="J491" i="1"/>
  <c r="J327" i="1"/>
  <c r="J815" i="1"/>
  <c r="J320" i="1"/>
  <c r="J706" i="1"/>
  <c r="J173" i="1"/>
  <c r="J525" i="1"/>
  <c r="J102" i="1"/>
  <c r="J302" i="1"/>
  <c r="J502" i="1"/>
  <c r="J532" i="1"/>
  <c r="J812" i="1"/>
  <c r="J917" i="1"/>
  <c r="J934" i="1"/>
  <c r="J838" i="1"/>
  <c r="J726" i="1"/>
  <c r="J144" i="1"/>
  <c r="J89" i="1"/>
  <c r="J345" i="1"/>
  <c r="J601" i="1"/>
  <c r="J171" i="1"/>
  <c r="J507" i="1"/>
  <c r="J151" i="1"/>
  <c r="J512" i="1"/>
  <c r="J352" i="1"/>
  <c r="J871" i="1"/>
  <c r="J28" i="1"/>
  <c r="J156" i="1"/>
  <c r="J79" i="1"/>
  <c r="J324" i="1"/>
  <c r="J460" i="1"/>
  <c r="J221" i="1"/>
  <c r="J533" i="1"/>
  <c r="J110" i="1"/>
  <c r="J310" i="1"/>
  <c r="J518" i="1"/>
  <c r="J556" i="1"/>
  <c r="J820" i="1"/>
  <c r="J933" i="1"/>
  <c r="J677" i="1"/>
  <c r="J534" i="1"/>
  <c r="J790" i="1"/>
  <c r="J208" i="1"/>
  <c r="J153" i="1"/>
  <c r="J409" i="1"/>
  <c r="J194" i="1"/>
  <c r="J235" i="1"/>
  <c r="J555" i="1"/>
  <c r="J167" i="1"/>
  <c r="J880" i="1"/>
  <c r="J584" i="1"/>
  <c r="J887" i="1"/>
  <c r="J36" i="1"/>
  <c r="J164" i="1"/>
  <c r="J87" i="1"/>
  <c r="J332" i="1"/>
  <c r="J21" i="1"/>
  <c r="J237" i="1"/>
  <c r="J549" i="1"/>
  <c r="J134" i="1"/>
  <c r="J350" i="1"/>
  <c r="J34" i="1"/>
  <c r="J572" i="1"/>
  <c r="J852" i="1"/>
  <c r="J965" i="1"/>
  <c r="J693" i="1"/>
  <c r="J550" i="1"/>
  <c r="J806" i="1"/>
  <c r="J224" i="1"/>
  <c r="J169" i="1"/>
  <c r="J425" i="1"/>
  <c r="J210" i="1"/>
  <c r="J251" i="1"/>
  <c r="J667" i="1"/>
  <c r="J287" i="1"/>
  <c r="J936" i="1"/>
  <c r="J920" i="1"/>
  <c r="J636" i="1"/>
  <c r="J530" i="1"/>
  <c r="J717" i="1"/>
  <c r="J574" i="1"/>
  <c r="J966" i="1"/>
  <c r="J248" i="1"/>
  <c r="J193" i="1"/>
  <c r="J449" i="1"/>
  <c r="J234" i="1"/>
  <c r="J299" i="1"/>
  <c r="J683" i="1"/>
  <c r="J543" i="1"/>
  <c r="J282" i="1"/>
  <c r="J968" i="1"/>
  <c r="J953" i="1"/>
  <c r="J741" i="1"/>
  <c r="J598" i="1"/>
  <c r="J16" i="1"/>
  <c r="J272" i="1"/>
  <c r="J217" i="1"/>
  <c r="J473" i="1"/>
  <c r="J258" i="1"/>
  <c r="J363" i="1"/>
  <c r="J803" i="1"/>
  <c r="J559" i="1"/>
  <c r="J818" i="1"/>
  <c r="J921" i="1"/>
  <c r="J993" i="1"/>
  <c r="J84" i="1"/>
  <c r="J23" i="1"/>
  <c r="J220" i="1"/>
  <c r="J404" i="1"/>
  <c r="J45" i="1"/>
  <c r="J357" i="1"/>
  <c r="J645" i="1"/>
  <c r="J222" i="1"/>
  <c r="J422" i="1"/>
  <c r="J106" i="1"/>
  <c r="J660" i="1"/>
  <c r="J996" i="1"/>
  <c r="J830" i="1"/>
  <c r="J829" i="1"/>
  <c r="J662" i="1"/>
  <c r="J80" i="1"/>
  <c r="J25" i="1"/>
  <c r="J281" i="1"/>
  <c r="J537" i="1"/>
  <c r="J107" i="1"/>
  <c r="J379" i="1"/>
  <c r="J955" i="1"/>
  <c r="J671" i="1"/>
  <c r="J882" i="1"/>
  <c r="J442" i="1"/>
  <c r="J650" i="1"/>
  <c r="J275" i="1"/>
  <c r="J403" i="1"/>
  <c r="J531" i="1"/>
  <c r="J739" i="1"/>
  <c r="J796" i="1"/>
  <c r="J215" i="1"/>
  <c r="J607" i="1"/>
  <c r="J863" i="1"/>
  <c r="J729" i="1"/>
  <c r="J408" i="1"/>
  <c r="J440" i="1"/>
  <c r="J745" i="1"/>
  <c r="J594" i="1"/>
  <c r="J935" i="1"/>
  <c r="J466" i="1"/>
  <c r="J229" i="1"/>
  <c r="J397" i="1"/>
  <c r="J541" i="1"/>
  <c r="J30" i="1"/>
  <c r="J118" i="1"/>
  <c r="J230" i="1"/>
  <c r="J326" i="1"/>
  <c r="J430" i="1"/>
  <c r="J26" i="1"/>
  <c r="J114" i="1"/>
  <c r="J564" i="1"/>
  <c r="J676" i="1"/>
  <c r="J836" i="1"/>
  <c r="J805" i="1"/>
  <c r="J941" i="1"/>
  <c r="J918" i="1"/>
  <c r="J733" i="1"/>
  <c r="J989" i="1"/>
  <c r="J590" i="1"/>
  <c r="J718" i="1"/>
  <c r="J8" i="1"/>
  <c r="J136" i="1"/>
  <c r="J264" i="1"/>
  <c r="J81" i="1"/>
  <c r="J209" i="1"/>
  <c r="J337" i="1"/>
  <c r="J465" i="1"/>
  <c r="J593" i="1"/>
  <c r="J250" i="1"/>
  <c r="J163" i="1"/>
  <c r="J291" i="1"/>
  <c r="J419" i="1"/>
  <c r="J547" i="1"/>
  <c r="J755" i="1"/>
  <c r="J860" i="1"/>
  <c r="J231" i="1"/>
  <c r="J623" i="1"/>
  <c r="J723" i="1"/>
  <c r="J785" i="1"/>
  <c r="J464" i="1"/>
  <c r="J472" i="1"/>
  <c r="J793" i="1"/>
  <c r="J618" i="1"/>
  <c r="J951" i="1"/>
  <c r="J61" i="1"/>
  <c r="J125" i="1"/>
  <c r="J189" i="1"/>
  <c r="J253" i="1"/>
  <c r="J317" i="1"/>
  <c r="J381" i="1"/>
  <c r="J445" i="1"/>
  <c r="J509" i="1"/>
  <c r="J53" i="1"/>
  <c r="J309" i="1"/>
  <c r="J69" i="1"/>
  <c r="J325" i="1"/>
  <c r="J117" i="1"/>
  <c r="J373" i="1"/>
  <c r="J181" i="1"/>
  <c r="J437" i="1"/>
  <c r="J245" i="1"/>
  <c r="J501" i="1"/>
  <c r="J133" i="1"/>
  <c r="J197" i="1"/>
  <c r="J261" i="1"/>
  <c r="J453" i="1"/>
  <c r="J389" i="1"/>
  <c r="J716" i="1"/>
  <c r="J948" i="1"/>
  <c r="J516" i="1"/>
  <c r="J764" i="1"/>
  <c r="J589" i="1"/>
  <c r="J988" i="1"/>
  <c r="J644" i="1"/>
  <c r="J780" i="1"/>
  <c r="J892" i="1"/>
  <c r="J653" i="1"/>
  <c r="J924" i="1"/>
  <c r="J828" i="1"/>
  <c r="J947" i="1"/>
  <c r="J714" i="1"/>
  <c r="J898" i="1"/>
  <c r="J626" i="1"/>
  <c r="J434" i="1"/>
  <c r="J929" i="1"/>
  <c r="J665" i="1"/>
  <c r="J991" i="1"/>
  <c r="J927" i="1"/>
  <c r="J519" i="1"/>
  <c r="J842" i="1"/>
  <c r="J690" i="1"/>
  <c r="J578" i="1"/>
  <c r="J418" i="1"/>
  <c r="J274" i="1"/>
  <c r="J905" i="1"/>
  <c r="J737" i="1"/>
  <c r="J896" i="1"/>
  <c r="J720" i="1"/>
  <c r="J560" i="1"/>
  <c r="J424" i="1"/>
  <c r="J450" i="1"/>
  <c r="J848" i="1"/>
  <c r="J592" i="1"/>
  <c r="J376" i="1"/>
  <c r="J786" i="1"/>
  <c r="J458" i="1"/>
  <c r="J881" i="1"/>
  <c r="J697" i="1"/>
  <c r="J864" i="1"/>
  <c r="J680" i="1"/>
  <c r="J448" i="1"/>
  <c r="J855" i="1"/>
  <c r="J791" i="1"/>
  <c r="J727" i="1"/>
  <c r="J663" i="1"/>
  <c r="J599" i="1"/>
  <c r="J535" i="1"/>
  <c r="J399" i="1"/>
  <c r="J271" i="1"/>
  <c r="J207" i="1"/>
  <c r="J143" i="1"/>
  <c r="J415" i="1"/>
  <c r="J311" i="1"/>
  <c r="J732" i="1"/>
  <c r="J939" i="1"/>
  <c r="J859" i="1"/>
  <c r="J795" i="1"/>
  <c r="J731" i="1"/>
  <c r="J659" i="1"/>
  <c r="J595" i="1"/>
  <c r="J523" i="1"/>
  <c r="J459" i="1"/>
  <c r="J395" i="1"/>
  <c r="J331" i="1"/>
  <c r="J267" i="1"/>
  <c r="J203" i="1"/>
  <c r="J139" i="1"/>
  <c r="J75" i="1"/>
  <c r="J226" i="1"/>
  <c r="J633" i="1"/>
  <c r="J569" i="1"/>
  <c r="J505" i="1"/>
  <c r="J441" i="1"/>
  <c r="J377" i="1"/>
  <c r="J313" i="1"/>
  <c r="J249" i="1"/>
  <c r="J185" i="1"/>
  <c r="J121" i="1"/>
  <c r="J57" i="1"/>
  <c r="J304" i="1"/>
  <c r="J240" i="1"/>
  <c r="J176" i="1"/>
  <c r="J112" i="1"/>
  <c r="J48" i="1"/>
  <c r="J822" i="1"/>
  <c r="J758" i="1"/>
  <c r="J694" i="1"/>
  <c r="J630" i="1"/>
  <c r="J566" i="1"/>
  <c r="J926" i="1"/>
  <c r="J925" i="1"/>
  <c r="J773" i="1"/>
  <c r="J709" i="1"/>
  <c r="J990" i="1"/>
  <c r="J878" i="1"/>
  <c r="J997" i="1"/>
  <c r="J901" i="1"/>
  <c r="J789" i="1"/>
  <c r="J900" i="1"/>
  <c r="J804" i="1"/>
  <c r="J692" i="1"/>
  <c r="J612" i="1"/>
  <c r="J548" i="1"/>
  <c r="J146" i="1"/>
  <c r="J82" i="1"/>
  <c r="J18" i="1"/>
  <c r="J470" i="1"/>
  <c r="J406" i="1"/>
  <c r="J342" i="1"/>
  <c r="J278" i="1"/>
  <c r="J214" i="1"/>
  <c r="J150" i="1"/>
  <c r="J86" i="1"/>
  <c r="J22" i="1"/>
  <c r="J581" i="1"/>
  <c r="J517" i="1"/>
  <c r="J413" i="1"/>
  <c r="J301" i="1"/>
  <c r="J213" i="1"/>
  <c r="J101" i="1"/>
  <c r="J13" i="1"/>
  <c r="J444" i="1"/>
  <c r="J380" i="1"/>
  <c r="J316" i="1"/>
  <c r="J252" i="1"/>
  <c r="J119" i="1"/>
  <c r="J55" i="1"/>
  <c r="J196" i="1"/>
  <c r="J132" i="1"/>
  <c r="J68" i="1"/>
  <c r="J51" i="1"/>
  <c r="J994" i="1"/>
  <c r="J866" i="1"/>
  <c r="J610" i="1"/>
  <c r="J394" i="1"/>
  <c r="J913" i="1"/>
  <c r="J976" i="1"/>
  <c r="J983" i="1"/>
  <c r="J919" i="1"/>
  <c r="J1002" i="1"/>
  <c r="J826" i="1"/>
  <c r="J682" i="1"/>
  <c r="J570" i="1"/>
  <c r="J410" i="1"/>
  <c r="J1001" i="1"/>
  <c r="J889" i="1"/>
  <c r="J705" i="1"/>
  <c r="J872" i="1"/>
  <c r="J696" i="1"/>
  <c r="J544" i="1"/>
  <c r="J416" i="1"/>
  <c r="J761" i="1"/>
  <c r="J824" i="1"/>
  <c r="J568" i="1"/>
  <c r="J328" i="1"/>
  <c r="J762" i="1"/>
  <c r="J426" i="1"/>
  <c r="J865" i="1"/>
  <c r="J689" i="1"/>
  <c r="J840" i="1"/>
  <c r="J656" i="1"/>
  <c r="J979" i="1"/>
  <c r="J847" i="1"/>
  <c r="J783" i="1"/>
  <c r="J719" i="1"/>
  <c r="J655" i="1"/>
  <c r="J591" i="1"/>
  <c r="J527" i="1"/>
  <c r="J375" i="1"/>
  <c r="J263" i="1"/>
  <c r="J199" i="1"/>
  <c r="J135" i="1"/>
  <c r="J407" i="1"/>
  <c r="J279" i="1"/>
  <c r="J700" i="1"/>
  <c r="J931" i="1"/>
  <c r="J851" i="1"/>
  <c r="J787" i="1"/>
  <c r="J715" i="1"/>
  <c r="J651" i="1"/>
  <c r="J587" i="1"/>
  <c r="J515" i="1"/>
  <c r="J451" i="1"/>
  <c r="J387" i="1"/>
  <c r="J323" i="1"/>
  <c r="J259" i="1"/>
  <c r="J195" i="1"/>
  <c r="J131" i="1"/>
  <c r="J67" i="1"/>
  <c r="J218" i="1"/>
  <c r="J625" i="1"/>
  <c r="J561" i="1"/>
  <c r="J497" i="1"/>
  <c r="J433" i="1"/>
  <c r="J369" i="1"/>
  <c r="J305" i="1"/>
  <c r="J241" i="1"/>
  <c r="J177" i="1"/>
  <c r="J113" i="1"/>
  <c r="J49" i="1"/>
  <c r="J296" i="1"/>
  <c r="J232" i="1"/>
  <c r="J168" i="1"/>
  <c r="J104" i="1"/>
  <c r="J40" i="1"/>
  <c r="J814" i="1"/>
  <c r="J750" i="1"/>
  <c r="J686" i="1"/>
  <c r="J622" i="1"/>
  <c r="J558" i="1"/>
  <c r="J910" i="1"/>
  <c r="J893" i="1"/>
  <c r="J765" i="1"/>
  <c r="J701" i="1"/>
  <c r="J974" i="1"/>
  <c r="J870" i="1"/>
  <c r="J981" i="1"/>
  <c r="J885" i="1"/>
  <c r="J1004" i="1"/>
  <c r="J884" i="1"/>
  <c r="J788" i="1"/>
  <c r="J684" i="1"/>
  <c r="J604" i="1"/>
  <c r="J540" i="1"/>
  <c r="J138" i="1"/>
  <c r="J74" i="1"/>
  <c r="J10" i="1"/>
  <c r="J462" i="1"/>
  <c r="J398" i="1"/>
  <c r="J334" i="1"/>
  <c r="J270" i="1"/>
  <c r="J206" i="1"/>
  <c r="J142" i="1"/>
  <c r="J78" i="1"/>
  <c r="J14" i="1"/>
  <c r="J573" i="1"/>
  <c r="J493" i="1"/>
  <c r="J405" i="1"/>
  <c r="J293" i="1"/>
  <c r="J205" i="1"/>
  <c r="J93" i="1"/>
  <c r="J500" i="1"/>
  <c r="J436" i="1"/>
  <c r="J372" i="1"/>
  <c r="J308" i="1"/>
  <c r="J244" i="1"/>
  <c r="J111" i="1"/>
  <c r="J47" i="1"/>
  <c r="J188" i="1"/>
  <c r="J124" i="1"/>
  <c r="J60" i="1"/>
  <c r="J43" i="1"/>
  <c r="J400" i="1"/>
  <c r="J713" i="1"/>
  <c r="J792" i="1"/>
  <c r="J536" i="1"/>
  <c r="J978" i="1"/>
  <c r="J730" i="1"/>
  <c r="J402" i="1"/>
  <c r="J849" i="1"/>
  <c r="J657" i="1"/>
  <c r="J816" i="1"/>
  <c r="J632" i="1"/>
  <c r="J971" i="1"/>
  <c r="J839" i="1"/>
  <c r="J775" i="1"/>
  <c r="J711" i="1"/>
  <c r="J647" i="1"/>
  <c r="J583" i="1"/>
  <c r="J511" i="1"/>
  <c r="J359" i="1"/>
  <c r="J255" i="1"/>
  <c r="J191" i="1"/>
  <c r="J503" i="1"/>
  <c r="J391" i="1"/>
  <c r="J972" i="1"/>
  <c r="J620" i="1"/>
  <c r="J923" i="1"/>
  <c r="J843" i="1"/>
  <c r="J779" i="1"/>
  <c r="J707" i="1"/>
  <c r="J643" i="1"/>
  <c r="J946" i="1"/>
  <c r="J834" i="1"/>
  <c r="J586" i="1"/>
  <c r="J370" i="1"/>
  <c r="J897" i="1"/>
  <c r="J904" i="1"/>
  <c r="J975" i="1"/>
  <c r="J911" i="1"/>
  <c r="J986" i="1"/>
  <c r="J802" i="1"/>
  <c r="J666" i="1"/>
  <c r="J554" i="1"/>
  <c r="J386" i="1"/>
  <c r="J985" i="1"/>
  <c r="J857" i="1"/>
  <c r="J681" i="1"/>
  <c r="J856" i="1"/>
  <c r="J672" i="1"/>
  <c r="J520" i="1"/>
  <c r="J914" i="1"/>
  <c r="J794" i="1"/>
  <c r="J562" i="1"/>
  <c r="J330" i="1"/>
  <c r="J873" i="1"/>
  <c r="J736" i="1"/>
  <c r="J967" i="1"/>
  <c r="J903" i="1"/>
  <c r="J962" i="1"/>
  <c r="J778" i="1"/>
  <c r="J642" i="1"/>
  <c r="J538" i="1"/>
  <c r="J362" i="1"/>
  <c r="J969" i="1"/>
  <c r="J833" i="1"/>
  <c r="J649" i="1"/>
  <c r="J832" i="1"/>
  <c r="J664" i="1"/>
  <c r="J496" i="1"/>
  <c r="J384" i="1"/>
  <c r="J673" i="1"/>
  <c r="J760" i="1"/>
  <c r="J504" i="1"/>
  <c r="J954" i="1"/>
  <c r="J698" i="1"/>
  <c r="J378" i="1"/>
  <c r="J825" i="1"/>
  <c r="J984" i="1"/>
  <c r="J800" i="1"/>
  <c r="J600" i="1"/>
  <c r="J883" i="1"/>
  <c r="J831" i="1"/>
  <c r="J767" i="1"/>
  <c r="J703" i="1"/>
  <c r="J639" i="1"/>
  <c r="J575" i="1"/>
  <c r="J495" i="1"/>
  <c r="J335" i="1"/>
  <c r="J247" i="1"/>
  <c r="J183" i="1"/>
  <c r="J487" i="1"/>
  <c r="J383" i="1"/>
  <c r="J956" i="1"/>
  <c r="J1003" i="1"/>
  <c r="J915" i="1"/>
  <c r="J835" i="1"/>
  <c r="J771" i="1"/>
  <c r="J699" i="1"/>
  <c r="J635" i="1"/>
  <c r="J563" i="1"/>
  <c r="J499" i="1"/>
  <c r="J435" i="1"/>
  <c r="J371" i="1"/>
  <c r="J307" i="1"/>
  <c r="J243" i="1"/>
  <c r="J179" i="1"/>
  <c r="J115" i="1"/>
  <c r="J266" i="1"/>
  <c r="J202" i="1"/>
  <c r="J609" i="1"/>
  <c r="J545" i="1"/>
  <c r="J481" i="1"/>
  <c r="J417" i="1"/>
  <c r="J353" i="1"/>
  <c r="J289" i="1"/>
  <c r="J225" i="1"/>
  <c r="J161" i="1"/>
  <c r="J97" i="1"/>
  <c r="J33" i="1"/>
  <c r="J280" i="1"/>
  <c r="J216" i="1"/>
  <c r="J152" i="1"/>
  <c r="J88" i="1"/>
  <c r="J24" i="1"/>
  <c r="J798" i="1"/>
  <c r="J734" i="1"/>
  <c r="J670" i="1"/>
  <c r="J606" i="1"/>
  <c r="J542" i="1"/>
  <c r="J854" i="1"/>
  <c r="J853" i="1"/>
  <c r="J749" i="1"/>
  <c r="J685" i="1"/>
  <c r="J942" i="1"/>
  <c r="J846" i="1"/>
  <c r="J957" i="1"/>
  <c r="J861" i="1"/>
  <c r="J980" i="1"/>
  <c r="J868" i="1"/>
  <c r="J756" i="1"/>
  <c r="J668" i="1"/>
  <c r="J588" i="1"/>
  <c r="J524" i="1"/>
  <c r="J122" i="1"/>
  <c r="J58" i="1"/>
  <c r="J510" i="1"/>
  <c r="J446" i="1"/>
  <c r="J382" i="1"/>
  <c r="J318" i="1"/>
  <c r="J254" i="1"/>
  <c r="J190" i="1"/>
  <c r="J126" i="1"/>
  <c r="J62" i="1"/>
  <c r="J637" i="1"/>
  <c r="J557" i="1"/>
  <c r="J477" i="1"/>
  <c r="J365" i="1"/>
  <c r="J277" i="1"/>
  <c r="J165" i="1"/>
  <c r="J77" i="1"/>
  <c r="J484" i="1"/>
  <c r="J420" i="1"/>
  <c r="J356" i="1"/>
  <c r="J292" i="1"/>
  <c r="J228" i="1"/>
  <c r="J95" i="1"/>
  <c r="J31" i="1"/>
  <c r="J172" i="1"/>
  <c r="J108" i="1"/>
  <c r="J44" i="1"/>
  <c r="J27" i="1"/>
  <c r="J874" i="1"/>
  <c r="J770" i="1"/>
  <c r="J546" i="1"/>
  <c r="J290" i="1"/>
  <c r="J841" i="1"/>
  <c r="J392" i="1"/>
  <c r="J959" i="1"/>
  <c r="J895" i="1"/>
  <c r="J938" i="1"/>
  <c r="J754" i="1"/>
  <c r="J634" i="1"/>
  <c r="J514" i="1"/>
  <c r="J346" i="1"/>
  <c r="J961" i="1"/>
  <c r="J817" i="1"/>
  <c r="J992" i="1"/>
  <c r="J808" i="1"/>
  <c r="J640" i="1"/>
  <c r="J480" i="1"/>
  <c r="J368" i="1"/>
  <c r="J1000" i="1"/>
  <c r="J712" i="1"/>
  <c r="J488" i="1"/>
  <c r="J922" i="1"/>
  <c r="J658" i="1"/>
  <c r="J354" i="1"/>
  <c r="J801" i="1"/>
  <c r="J952" i="1"/>
  <c r="J776" i="1"/>
  <c r="J576" i="1"/>
  <c r="J867" i="1"/>
  <c r="J823" i="1"/>
  <c r="J759" i="1"/>
  <c r="J695" i="1"/>
  <c r="J631" i="1"/>
  <c r="J567" i="1"/>
  <c r="J479" i="1"/>
  <c r="J319" i="1"/>
  <c r="J239" i="1"/>
  <c r="J175" i="1"/>
  <c r="J471" i="1"/>
  <c r="J367" i="1"/>
  <c r="J908" i="1"/>
  <c r="J995" i="1"/>
  <c r="J907" i="1"/>
  <c r="J827" i="1"/>
  <c r="J763" i="1"/>
  <c r="J691" i="1"/>
  <c r="J627" i="1"/>
  <c r="J970" i="1"/>
  <c r="J674" i="1"/>
  <c r="J506" i="1"/>
  <c r="J977" i="1"/>
  <c r="J769" i="1"/>
  <c r="J336" i="1"/>
  <c r="J943" i="1"/>
  <c r="J879" i="1"/>
  <c r="J890" i="1"/>
  <c r="J722" i="1"/>
  <c r="J602" i="1"/>
  <c r="J474" i="1"/>
  <c r="J306" i="1"/>
  <c r="J937" i="1"/>
  <c r="J777" i="1"/>
  <c r="J944" i="1"/>
  <c r="J768" i="1"/>
  <c r="J608" i="1"/>
  <c r="J456" i="1"/>
  <c r="J344" i="1"/>
  <c r="J928" i="1"/>
  <c r="J648" i="1"/>
  <c r="J432" i="1"/>
  <c r="J850" i="1"/>
  <c r="J498" i="1"/>
  <c r="J314" i="1"/>
  <c r="J753" i="1"/>
  <c r="J912" i="1"/>
  <c r="J728" i="1"/>
  <c r="J528" i="1"/>
  <c r="J579" i="1"/>
  <c r="J807" i="1"/>
  <c r="J743" i="1"/>
  <c r="J679" i="1"/>
  <c r="J615" i="1"/>
  <c r="J551" i="1"/>
  <c r="J439" i="1"/>
  <c r="J295" i="1"/>
  <c r="J223" i="1"/>
  <c r="J159" i="1"/>
  <c r="J447" i="1"/>
  <c r="J343" i="1"/>
  <c r="J844" i="1"/>
  <c r="J963" i="1"/>
  <c r="J891" i="1"/>
  <c r="J811" i="1"/>
  <c r="J747" i="1"/>
  <c r="J675" i="1"/>
  <c r="J611" i="1"/>
  <c r="J539" i="1"/>
  <c r="J475" i="1"/>
  <c r="J411" i="1"/>
  <c r="J347" i="1"/>
  <c r="J283" i="1"/>
  <c r="J219" i="1"/>
  <c r="J155" i="1"/>
  <c r="J91" i="1"/>
  <c r="J242" i="1"/>
  <c r="J178" i="1"/>
  <c r="J585" i="1"/>
  <c r="J521" i="1"/>
  <c r="J457" i="1"/>
  <c r="J393" i="1"/>
  <c r="J329" i="1"/>
  <c r="J265" i="1"/>
  <c r="J201" i="1"/>
  <c r="J137" i="1"/>
  <c r="J73" i="1"/>
  <c r="J9" i="1"/>
  <c r="J256" i="1"/>
  <c r="J192" i="1"/>
  <c r="J128" i="1"/>
  <c r="J64" i="1"/>
  <c r="J998" i="1"/>
  <c r="J774" i="1"/>
  <c r="J710" i="1"/>
  <c r="J646" i="1"/>
  <c r="J582" i="1"/>
  <c r="J982" i="1"/>
  <c r="J973" i="1"/>
  <c r="J797" i="1"/>
  <c r="J725" i="1"/>
  <c r="J661" i="1"/>
  <c r="J902" i="1"/>
  <c r="J958" i="1"/>
  <c r="J757" i="1"/>
  <c r="J886" i="1"/>
  <c r="J614" i="1"/>
  <c r="J742" i="1"/>
  <c r="J32" i="1"/>
  <c r="J160" i="1"/>
  <c r="J288" i="1"/>
  <c r="J105" i="1"/>
  <c r="J233" i="1"/>
  <c r="J361" i="1"/>
  <c r="J489" i="1"/>
  <c r="J617" i="1"/>
  <c r="J59" i="1"/>
  <c r="J187" i="1"/>
  <c r="J315" i="1"/>
  <c r="J443" i="1"/>
  <c r="J571" i="1"/>
  <c r="J819" i="1"/>
  <c r="J351" i="1"/>
  <c r="J303" i="1"/>
  <c r="J687" i="1"/>
  <c r="J552" i="1"/>
  <c r="J338" i="1"/>
  <c r="J688" i="1"/>
  <c r="J616" i="1"/>
  <c r="J945" i="1"/>
  <c r="J746" i="1"/>
  <c r="J360" i="1"/>
  <c r="J738" i="1"/>
  <c r="J268" i="1"/>
  <c r="J364" i="1"/>
  <c r="J468" i="1"/>
  <c r="J109" i="1"/>
  <c r="J269" i="1"/>
  <c r="J429" i="1"/>
  <c r="J565" i="1"/>
  <c r="J46" i="1"/>
  <c r="J158" i="1"/>
  <c r="J246" i="1"/>
  <c r="J358" i="1"/>
  <c r="J454" i="1"/>
  <c r="J42" i="1"/>
  <c r="J154" i="1"/>
  <c r="J580" i="1"/>
  <c r="J724" i="1"/>
  <c r="J876" i="1"/>
  <c r="J837" i="1"/>
  <c r="J461" i="1"/>
  <c r="J596" i="1"/>
  <c r="J766" i="1"/>
  <c r="J385" i="1"/>
  <c r="J211" i="1"/>
  <c r="J467" i="1"/>
  <c r="J603" i="1"/>
  <c r="J431" i="1"/>
  <c r="J423" i="1"/>
  <c r="J735" i="1"/>
  <c r="J704" i="1"/>
  <c r="J482" i="1"/>
  <c r="J888" i="1"/>
  <c r="J744" i="1"/>
  <c r="J298" i="1"/>
  <c r="J858" i="1"/>
  <c r="J721" i="1"/>
  <c r="J930" i="1"/>
  <c r="J12" i="1"/>
  <c r="J100" i="1"/>
  <c r="J7" i="1"/>
  <c r="J103" i="1"/>
  <c r="J276" i="1"/>
  <c r="J388" i="1"/>
  <c r="J476" i="1"/>
  <c r="J141" i="1"/>
  <c r="J285" i="1"/>
  <c r="J597" i="1"/>
  <c r="J54" i="1"/>
  <c r="J166" i="1"/>
  <c r="J262" i="1"/>
  <c r="J366" i="1"/>
  <c r="J478" i="1"/>
  <c r="J50" i="1"/>
  <c r="J162" i="1"/>
  <c r="J740" i="1"/>
  <c r="J916" i="1"/>
  <c r="J845" i="1"/>
  <c r="J621" i="1"/>
  <c r="J781" i="1"/>
  <c r="J950" i="1"/>
  <c r="J638" i="1"/>
  <c r="J56" i="1"/>
  <c r="J184" i="1"/>
  <c r="J312" i="1"/>
  <c r="J129" i="1"/>
  <c r="J257" i="1"/>
  <c r="J513" i="1"/>
  <c r="J641" i="1"/>
  <c r="J83" i="1"/>
  <c r="J339" i="1"/>
  <c r="J875" i="1"/>
  <c r="J20" i="1"/>
  <c r="J116" i="1"/>
  <c r="J15" i="1"/>
  <c r="J127" i="1"/>
  <c r="J284" i="1"/>
  <c r="J396" i="1"/>
  <c r="J492" i="1"/>
  <c r="J149" i="1"/>
  <c r="J333" i="1"/>
  <c r="J469" i="1"/>
  <c r="J605" i="1"/>
  <c r="J70" i="1"/>
  <c r="J174" i="1"/>
  <c r="J286" i="1"/>
  <c r="J374" i="1"/>
  <c r="J486" i="1"/>
  <c r="J66" i="1"/>
  <c r="J170" i="1"/>
  <c r="J628" i="1"/>
  <c r="J748" i="1"/>
  <c r="J932" i="1"/>
  <c r="J877" i="1"/>
  <c r="J5" i="1"/>
  <c r="J669" i="1"/>
  <c r="J813" i="1"/>
  <c r="J526" i="1"/>
  <c r="J654" i="1"/>
  <c r="J782" i="1"/>
  <c r="J72" i="1"/>
  <c r="J200" i="1"/>
  <c r="J17" i="1"/>
  <c r="J145" i="1"/>
  <c r="J273" i="1"/>
  <c r="J401" i="1"/>
  <c r="J529" i="1"/>
  <c r="J186" i="1"/>
  <c r="J99" i="1"/>
  <c r="J227" i="1"/>
  <c r="J355" i="1"/>
  <c r="J483" i="1"/>
  <c r="J619" i="1"/>
  <c r="J899" i="1"/>
  <c r="J463" i="1"/>
  <c r="J455" i="1"/>
  <c r="J751" i="1"/>
  <c r="J752" i="1"/>
  <c r="J522" i="1"/>
  <c r="J960" i="1"/>
  <c r="J784" i="1"/>
  <c r="J322" i="1"/>
  <c r="J906" i="1"/>
  <c r="J809" i="1"/>
  <c r="J810" i="1"/>
  <c r="I121" i="1"/>
  <c r="N14" i="1"/>
  <c r="N15" i="1"/>
  <c r="N5" i="1"/>
  <c r="N8" i="1"/>
  <c r="N16" i="1"/>
  <c r="K77" i="1"/>
  <c r="L24" i="1"/>
  <c r="N9" i="1"/>
  <c r="N17" i="1"/>
  <c r="N10" i="1"/>
  <c r="N79" i="1"/>
  <c r="M224" i="1"/>
  <c r="N11" i="1"/>
  <c r="N88" i="1"/>
  <c r="N12" i="1"/>
  <c r="N96" i="1"/>
  <c r="N7" i="1"/>
  <c r="N13" i="1"/>
  <c r="N251" i="1"/>
  <c r="K11" i="1"/>
  <c r="K13" i="1"/>
  <c r="K15" i="1"/>
  <c r="K17" i="1"/>
  <c r="I19" i="1"/>
  <c r="L5" i="1"/>
  <c r="K6" i="1"/>
  <c r="I7" i="1"/>
  <c r="K8" i="1"/>
  <c r="K10" i="1"/>
  <c r="K12" i="1"/>
  <c r="K14" i="1"/>
  <c r="K16" i="1"/>
  <c r="I18" i="1"/>
  <c r="I20" i="1"/>
  <c r="I28" i="1"/>
  <c r="L78" i="1"/>
  <c r="I102" i="1"/>
  <c r="M5" i="1"/>
  <c r="L6" i="1"/>
  <c r="K7" i="1"/>
  <c r="L8" i="1"/>
  <c r="L10" i="1"/>
  <c r="L12" i="1"/>
  <c r="L14" i="1"/>
  <c r="L16" i="1"/>
  <c r="K18" i="1"/>
  <c r="K20" i="1"/>
  <c r="I22" i="1"/>
  <c r="I24" i="1"/>
  <c r="I90" i="1"/>
  <c r="I104" i="1"/>
  <c r="M267" i="1"/>
  <c r="I941" i="1"/>
  <c r="I933" i="1"/>
  <c r="I925" i="1"/>
  <c r="I1004" i="1"/>
  <c r="I1000" i="1"/>
  <c r="I996" i="1"/>
  <c r="I992" i="1"/>
  <c r="I988" i="1"/>
  <c r="I984" i="1"/>
  <c r="I980" i="1"/>
  <c r="I976" i="1"/>
  <c r="I972" i="1"/>
  <c r="I968" i="1"/>
  <c r="I964" i="1"/>
  <c r="I961" i="1"/>
  <c r="I956" i="1"/>
  <c r="I954" i="1"/>
  <c r="I952" i="1"/>
  <c r="I950" i="1"/>
  <c r="I948" i="1"/>
  <c r="I946" i="1"/>
  <c r="I944" i="1"/>
  <c r="I936" i="1"/>
  <c r="I928" i="1"/>
  <c r="I958" i="1"/>
  <c r="I939" i="1"/>
  <c r="I931" i="1"/>
  <c r="I923" i="1"/>
  <c r="I1003" i="1"/>
  <c r="I999" i="1"/>
  <c r="I995" i="1"/>
  <c r="I991" i="1"/>
  <c r="I987" i="1"/>
  <c r="I983" i="1"/>
  <c r="I979" i="1"/>
  <c r="I975" i="1"/>
  <c r="I971" i="1"/>
  <c r="I967" i="1"/>
  <c r="I963" i="1"/>
  <c r="I942" i="1"/>
  <c r="I960" i="1"/>
  <c r="I937" i="1"/>
  <c r="I929" i="1"/>
  <c r="I920" i="1"/>
  <c r="I919" i="1"/>
  <c r="I918" i="1"/>
  <c r="I917" i="1"/>
  <c r="I916" i="1"/>
  <c r="I915" i="1"/>
  <c r="I914" i="1"/>
  <c r="I913" i="1"/>
  <c r="I912" i="1"/>
  <c r="I911" i="1"/>
  <c r="I910" i="1"/>
  <c r="I1002" i="1"/>
  <c r="I998" i="1"/>
  <c r="I994" i="1"/>
  <c r="I990" i="1"/>
  <c r="I986" i="1"/>
  <c r="I982" i="1"/>
  <c r="I978" i="1"/>
  <c r="I974" i="1"/>
  <c r="I970" i="1"/>
  <c r="I966" i="1"/>
  <c r="I957" i="1"/>
  <c r="I955" i="1"/>
  <c r="I953" i="1"/>
  <c r="I951" i="1"/>
  <c r="I949" i="1"/>
  <c r="I947" i="1"/>
  <c r="I945" i="1"/>
  <c r="I940" i="1"/>
  <c r="I932" i="1"/>
  <c r="I924" i="1"/>
  <c r="I921" i="1"/>
  <c r="I902" i="1"/>
  <c r="I894" i="1"/>
  <c r="I886" i="1"/>
  <c r="I878"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1001" i="1"/>
  <c r="I985" i="1"/>
  <c r="I969" i="1"/>
  <c r="I897" i="1"/>
  <c r="I889" i="1"/>
  <c r="I881" i="1"/>
  <c r="I873" i="1"/>
  <c r="I870" i="1"/>
  <c r="I927" i="1"/>
  <c r="I909" i="1"/>
  <c r="I907" i="1"/>
  <c r="I905" i="1"/>
  <c r="I900" i="1"/>
  <c r="I892" i="1"/>
  <c r="I884" i="1"/>
  <c r="I876" i="1"/>
  <c r="I997" i="1"/>
  <c r="I981" i="1"/>
  <c r="I965" i="1"/>
  <c r="I935" i="1"/>
  <c r="I903" i="1"/>
  <c r="I895" i="1"/>
  <c r="I887" i="1"/>
  <c r="I879" i="1"/>
  <c r="I871" i="1"/>
  <c r="I962" i="1"/>
  <c r="I926" i="1"/>
  <c r="I922" i="1"/>
  <c r="I898" i="1"/>
  <c r="I890" i="1"/>
  <c r="I882" i="1"/>
  <c r="I874" i="1"/>
  <c r="I993" i="1"/>
  <c r="I977" i="1"/>
  <c r="I934" i="1"/>
  <c r="I930" i="1"/>
  <c r="I901" i="1"/>
  <c r="I893" i="1"/>
  <c r="I885" i="1"/>
  <c r="I877" i="1"/>
  <c r="I943" i="1"/>
  <c r="I938" i="1"/>
  <c r="I908" i="1"/>
  <c r="I906" i="1"/>
  <c r="I904" i="1"/>
  <c r="I896" i="1"/>
  <c r="I888" i="1"/>
  <c r="I880" i="1"/>
  <c r="I872" i="1"/>
  <c r="I989" i="1"/>
  <c r="I891" i="1"/>
  <c r="I973" i="1"/>
  <c r="I959"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883" i="1"/>
  <c r="I823" i="1"/>
  <c r="I748" i="1"/>
  <c r="I740" i="1"/>
  <c r="I763" i="1"/>
  <c r="I759" i="1"/>
  <c r="I755" i="1"/>
  <c r="I749" i="1"/>
  <c r="I741" i="1"/>
  <c r="I764" i="1"/>
  <c r="I760" i="1"/>
  <c r="I756" i="1"/>
  <c r="I751" i="1"/>
  <c r="I743" i="1"/>
  <c r="I735" i="1"/>
  <c r="I875" i="1"/>
  <c r="I752" i="1"/>
  <c r="I744" i="1"/>
  <c r="I736" i="1"/>
  <c r="I765" i="1"/>
  <c r="I761" i="1"/>
  <c r="I757" i="1"/>
  <c r="I753" i="1"/>
  <c r="I745" i="1"/>
  <c r="I737" i="1"/>
  <c r="I899" i="1"/>
  <c r="I758" i="1"/>
  <c r="I742" i="1"/>
  <c r="I739" i="1"/>
  <c r="I733" i="1"/>
  <c r="I726" i="1"/>
  <c r="I718" i="1"/>
  <c r="I710" i="1"/>
  <c r="I706" i="1"/>
  <c r="I762" i="1"/>
  <c r="I754" i="1"/>
  <c r="I729" i="1"/>
  <c r="I721" i="1"/>
  <c r="I713" i="1"/>
  <c r="I738" i="1"/>
  <c r="I724" i="1"/>
  <c r="I716" i="1"/>
  <c r="I707" i="1"/>
  <c r="I766" i="1"/>
  <c r="I750" i="1"/>
  <c r="I747" i="1"/>
  <c r="I732" i="1"/>
  <c r="I727" i="1"/>
  <c r="I719" i="1"/>
  <c r="I711" i="1"/>
  <c r="I730" i="1"/>
  <c r="I722" i="1"/>
  <c r="I714" i="1"/>
  <c r="I708"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746" i="1"/>
  <c r="I734" i="1"/>
  <c r="I725" i="1"/>
  <c r="I717" i="1"/>
  <c r="I728" i="1"/>
  <c r="I720" i="1"/>
  <c r="I712" i="1"/>
  <c r="I709" i="1"/>
  <c r="I705" i="1"/>
  <c r="I651" i="1"/>
  <c r="I643" i="1"/>
  <c r="I639" i="1"/>
  <c r="I631" i="1"/>
  <c r="I646" i="1"/>
  <c r="I640" i="1"/>
  <c r="I632"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731" i="1"/>
  <c r="I649" i="1"/>
  <c r="I641" i="1"/>
  <c r="I633" i="1"/>
  <c r="I625" i="1"/>
  <c r="I644" i="1"/>
  <c r="I634" i="1"/>
  <c r="I626" i="1"/>
  <c r="I715" i="1"/>
  <c r="I647" i="1"/>
  <c r="I635" i="1"/>
  <c r="I627" i="1"/>
  <c r="I650" i="1"/>
  <c r="I642" i="1"/>
  <c r="I636" i="1"/>
  <c r="I628" i="1"/>
  <c r="I645" i="1"/>
  <c r="I637" i="1"/>
  <c r="I629" i="1"/>
  <c r="I648" i="1"/>
  <c r="I548"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544" i="1"/>
  <c r="I723" i="1"/>
  <c r="I549" i="1"/>
  <c r="I545" i="1"/>
  <c r="I546" i="1"/>
  <c r="I446" i="1"/>
  <c r="I438" i="1"/>
  <c r="I430" i="1"/>
  <c r="I422" i="1"/>
  <c r="I412" i="1"/>
  <c r="I404" i="1"/>
  <c r="I441" i="1"/>
  <c r="I433" i="1"/>
  <c r="I425" i="1"/>
  <c r="I413" i="1"/>
  <c r="I405" i="1"/>
  <c r="I444" i="1"/>
  <c r="I436" i="1"/>
  <c r="I428" i="1"/>
  <c r="I420" i="1"/>
  <c r="I414" i="1"/>
  <c r="I406" i="1"/>
  <c r="I447" i="1"/>
  <c r="I439" i="1"/>
  <c r="I431" i="1"/>
  <c r="I423" i="1"/>
  <c r="I415" i="1"/>
  <c r="I407" i="1"/>
  <c r="I442" i="1"/>
  <c r="I434" i="1"/>
  <c r="I426" i="1"/>
  <c r="I416" i="1"/>
  <c r="I408"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638" i="1"/>
  <c r="I445" i="1"/>
  <c r="I437" i="1"/>
  <c r="I429" i="1"/>
  <c r="I421" i="1"/>
  <c r="I417" i="1"/>
  <c r="I409" i="1"/>
  <c r="I401" i="1"/>
  <c r="I630" i="1"/>
  <c r="I448" i="1"/>
  <c r="I362" i="1"/>
  <c r="I354" i="1"/>
  <c r="I346" i="1"/>
  <c r="I328" i="1"/>
  <c r="I320" i="1"/>
  <c r="I312" i="1"/>
  <c r="I304" i="1"/>
  <c r="I435" i="1"/>
  <c r="I403" i="1"/>
  <c r="I357" i="1"/>
  <c r="I349" i="1"/>
  <c r="I343" i="1"/>
  <c r="I339" i="1"/>
  <c r="I335" i="1"/>
  <c r="I329" i="1"/>
  <c r="I321" i="1"/>
  <c r="I313" i="1"/>
  <c r="I305" i="1"/>
  <c r="I547" i="1"/>
  <c r="I440" i="1"/>
  <c r="I402" i="1"/>
  <c r="I360" i="1"/>
  <c r="I352" i="1"/>
  <c r="I330" i="1"/>
  <c r="I322" i="1"/>
  <c r="I314" i="1"/>
  <c r="I306"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427" i="1"/>
  <c r="I411" i="1"/>
  <c r="I363" i="1"/>
  <c r="I355" i="1"/>
  <c r="I347" i="1"/>
  <c r="I344" i="1"/>
  <c r="I340" i="1"/>
  <c r="I336" i="1"/>
  <c r="I331" i="1"/>
  <c r="I323" i="1"/>
  <c r="I315" i="1"/>
  <c r="I307" i="1"/>
  <c r="I299" i="1"/>
  <c r="I432" i="1"/>
  <c r="I410" i="1"/>
  <c r="I358" i="1"/>
  <c r="I350" i="1"/>
  <c r="I332" i="1"/>
  <c r="I324" i="1"/>
  <c r="I316" i="1"/>
  <c r="I308" i="1"/>
  <c r="I300" i="1"/>
  <c r="I419" i="1"/>
  <c r="I361" i="1"/>
  <c r="I353" i="1"/>
  <c r="I345" i="1"/>
  <c r="I341" i="1"/>
  <c r="I337" i="1"/>
  <c r="I333" i="1"/>
  <c r="I325" i="1"/>
  <c r="I317" i="1"/>
  <c r="I309" i="1"/>
  <c r="I301" i="1"/>
  <c r="I418" i="1"/>
  <c r="I326" i="1"/>
  <c r="I443" i="1"/>
  <c r="I359" i="1"/>
  <c r="I303" i="1"/>
  <c r="I302" i="1"/>
  <c r="I351" i="1"/>
  <c r="I334" i="1"/>
  <c r="I311" i="1"/>
  <c r="I356" i="1"/>
  <c r="I310"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338" i="1"/>
  <c r="I319" i="1"/>
  <c r="I348" i="1"/>
  <c r="I152" i="1"/>
  <c r="I144" i="1"/>
  <c r="I136" i="1"/>
  <c r="I128" i="1"/>
  <c r="I120" i="1"/>
  <c r="I91" i="1"/>
  <c r="I85" i="1"/>
  <c r="I79" i="1"/>
  <c r="I17" i="1"/>
  <c r="I16" i="1"/>
  <c r="I15" i="1"/>
  <c r="I14" i="1"/>
  <c r="I13" i="1"/>
  <c r="I12" i="1"/>
  <c r="I11" i="1"/>
  <c r="I10" i="1"/>
  <c r="I9" i="1"/>
  <c r="I8" i="1"/>
  <c r="I327" i="1"/>
  <c r="I157" i="1"/>
  <c r="I149" i="1"/>
  <c r="I141" i="1"/>
  <c r="I133" i="1"/>
  <c r="I125" i="1"/>
  <c r="I117" i="1"/>
  <c r="I115" i="1"/>
  <c r="I113" i="1"/>
  <c r="I111" i="1"/>
  <c r="I109" i="1"/>
  <c r="I107" i="1"/>
  <c r="I105" i="1"/>
  <c r="I103" i="1"/>
  <c r="I101" i="1"/>
  <c r="I99" i="1"/>
  <c r="I94" i="1"/>
  <c r="I80" i="1"/>
  <c r="I154" i="1"/>
  <c r="I146" i="1"/>
  <c r="I138" i="1"/>
  <c r="I130" i="1"/>
  <c r="I122" i="1"/>
  <c r="I97" i="1"/>
  <c r="I89" i="1"/>
  <c r="I86" i="1"/>
  <c r="I81" i="1"/>
  <c r="I342" i="1"/>
  <c r="I151" i="1"/>
  <c r="I143" i="1"/>
  <c r="I135" i="1"/>
  <c r="I127" i="1"/>
  <c r="I119" i="1"/>
  <c r="I92" i="1"/>
  <c r="I82" i="1"/>
  <c r="I424" i="1"/>
  <c r="I318" i="1"/>
  <c r="I156" i="1"/>
  <c r="I148" i="1"/>
  <c r="I140" i="1"/>
  <c r="I132" i="1"/>
  <c r="I124" i="1"/>
  <c r="I95" i="1"/>
  <c r="I87" i="1"/>
  <c r="I83"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158" i="1"/>
  <c r="I150" i="1"/>
  <c r="I142" i="1"/>
  <c r="I134" i="1"/>
  <c r="I126" i="1"/>
  <c r="I118" i="1"/>
  <c r="I93" i="1"/>
  <c r="I84" i="1"/>
  <c r="I77" i="1"/>
  <c r="I155" i="1"/>
  <c r="I147" i="1"/>
  <c r="I139" i="1"/>
  <c r="I131" i="1"/>
  <c r="I123" i="1"/>
  <c r="I96" i="1"/>
  <c r="I88" i="1"/>
  <c r="I78" i="1"/>
  <c r="M6" i="1"/>
  <c r="M7" i="1"/>
  <c r="M8" i="1"/>
  <c r="M10" i="1"/>
  <c r="M12" i="1"/>
  <c r="M14" i="1"/>
  <c r="M16" i="1"/>
  <c r="L18" i="1"/>
  <c r="L20" i="1"/>
  <c r="K22" i="1"/>
  <c r="K24" i="1"/>
  <c r="I26" i="1"/>
  <c r="I106" i="1"/>
  <c r="I145" i="1"/>
  <c r="M283" i="1"/>
  <c r="M18" i="1"/>
  <c r="M20" i="1"/>
  <c r="L22" i="1"/>
  <c r="I29" i="1"/>
  <c r="K93" i="1"/>
  <c r="I108" i="1"/>
  <c r="M208" i="1"/>
  <c r="K506" i="1"/>
  <c r="K9" i="1"/>
  <c r="I110" i="1"/>
  <c r="I129" i="1"/>
  <c r="M216"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39" i="1"/>
  <c r="L931" i="1"/>
  <c r="L923" i="1"/>
  <c r="L942" i="1"/>
  <c r="L934" i="1"/>
  <c r="L926" i="1"/>
  <c r="L937" i="1"/>
  <c r="L929"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955" i="1"/>
  <c r="L953" i="1"/>
  <c r="L951" i="1"/>
  <c r="L949" i="1"/>
  <c r="L947" i="1"/>
  <c r="L945" i="1"/>
  <c r="L940" i="1"/>
  <c r="L943" i="1"/>
  <c r="L935" i="1"/>
  <c r="L927" i="1"/>
  <c r="L938" i="1"/>
  <c r="L930" i="1"/>
  <c r="L922" i="1"/>
  <c r="L941" i="1"/>
  <c r="L932" i="1"/>
  <c r="L928" i="1"/>
  <c r="L956" i="1"/>
  <c r="L948" i="1"/>
  <c r="L936" i="1"/>
  <c r="L954" i="1"/>
  <c r="L946" i="1"/>
  <c r="L952" i="1"/>
  <c r="L944" i="1"/>
  <c r="L925" i="1"/>
  <c r="L921" i="1"/>
  <c r="L933" i="1"/>
  <c r="L924" i="1"/>
  <c r="L862" i="1"/>
  <c r="L854" i="1"/>
  <c r="L846" i="1"/>
  <c r="L841" i="1"/>
  <c r="L839" i="1"/>
  <c r="L837" i="1"/>
  <c r="L867" i="1"/>
  <c r="L859" i="1"/>
  <c r="L851" i="1"/>
  <c r="L843" i="1"/>
  <c r="L834" i="1"/>
  <c r="L830" i="1"/>
  <c r="L826" i="1"/>
  <c r="L864" i="1"/>
  <c r="L856" i="1"/>
  <c r="L848"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866" i="1"/>
  <c r="L858" i="1"/>
  <c r="L850" i="1"/>
  <c r="L842" i="1"/>
  <c r="L840" i="1"/>
  <c r="L838" i="1"/>
  <c r="L863" i="1"/>
  <c r="L855" i="1"/>
  <c r="L847" i="1"/>
  <c r="L836" i="1"/>
  <c r="L832" i="1"/>
  <c r="L828" i="1"/>
  <c r="L824" i="1"/>
  <c r="L950" i="1"/>
  <c r="L868" i="1"/>
  <c r="L861" i="1"/>
  <c r="L825" i="1"/>
  <c r="L767" i="1"/>
  <c r="L750" i="1"/>
  <c r="L742"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860" i="1"/>
  <c r="L853" i="1"/>
  <c r="L835" i="1"/>
  <c r="L764" i="1"/>
  <c r="L760" i="1"/>
  <c r="L756" i="1"/>
  <c r="L751" i="1"/>
  <c r="L743" i="1"/>
  <c r="L735" i="1"/>
  <c r="L844" i="1"/>
  <c r="L827" i="1"/>
  <c r="L768" i="1"/>
  <c r="L765" i="1"/>
  <c r="L761" i="1"/>
  <c r="L757" i="1"/>
  <c r="L753" i="1"/>
  <c r="L745" i="1"/>
  <c r="L737" i="1"/>
  <c r="L865" i="1"/>
  <c r="L823" i="1"/>
  <c r="L746" i="1"/>
  <c r="L738" i="1"/>
  <c r="L857" i="1"/>
  <c r="L766" i="1"/>
  <c r="L762" i="1"/>
  <c r="L758" i="1"/>
  <c r="L754" i="1"/>
  <c r="L747" i="1"/>
  <c r="L739" i="1"/>
  <c r="L849" i="1"/>
  <c r="L833" i="1"/>
  <c r="L785" i="1"/>
  <c r="L783" i="1"/>
  <c r="L781" i="1"/>
  <c r="L779" i="1"/>
  <c r="L777" i="1"/>
  <c r="L775" i="1"/>
  <c r="L773" i="1"/>
  <c r="L771" i="1"/>
  <c r="L769" i="1"/>
  <c r="L845" i="1"/>
  <c r="L784" i="1"/>
  <c r="L776" i="1"/>
  <c r="L869" i="1"/>
  <c r="L782" i="1"/>
  <c r="L774" i="1"/>
  <c r="L744" i="1"/>
  <c r="L741"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780" i="1"/>
  <c r="L772" i="1"/>
  <c r="L740" i="1"/>
  <c r="L759" i="1"/>
  <c r="L752" i="1"/>
  <c r="L749" i="1"/>
  <c r="L852" i="1"/>
  <c r="L831" i="1"/>
  <c r="L778" i="1"/>
  <c r="L770" i="1"/>
  <c r="L755" i="1"/>
  <c r="L763" i="1"/>
  <c r="L736" i="1"/>
  <c r="L646" i="1"/>
  <c r="L633" i="1"/>
  <c r="L625" i="1"/>
  <c r="L829" i="1"/>
  <c r="L649" i="1"/>
  <c r="L641" i="1"/>
  <c r="L634" i="1"/>
  <c r="L626" i="1"/>
  <c r="L644" i="1"/>
  <c r="L635" i="1"/>
  <c r="L627" i="1"/>
  <c r="L654" i="1"/>
  <c r="L652" i="1"/>
  <c r="L647" i="1"/>
  <c r="L636" i="1"/>
  <c r="L628" i="1"/>
  <c r="L748" i="1"/>
  <c r="L650" i="1"/>
  <c r="L642" i="1"/>
  <c r="L637" i="1"/>
  <c r="L629" i="1"/>
  <c r="L645" i="1"/>
  <c r="L638" i="1"/>
  <c r="L630" i="1"/>
  <c r="L648" i="1"/>
  <c r="L639" i="1"/>
  <c r="L631" i="1"/>
  <c r="L619" i="1"/>
  <c r="L611" i="1"/>
  <c r="L603" i="1"/>
  <c r="L595" i="1"/>
  <c r="L587" i="1"/>
  <c r="L579" i="1"/>
  <c r="L573" i="1"/>
  <c r="L570" i="1"/>
  <c r="L565" i="1"/>
  <c r="L563" i="1"/>
  <c r="L561" i="1"/>
  <c r="L559" i="1"/>
  <c r="L557" i="1"/>
  <c r="L555" i="1"/>
  <c r="L553" i="1"/>
  <c r="L551" i="1"/>
  <c r="L544" i="1"/>
  <c r="L618" i="1"/>
  <c r="L610" i="1"/>
  <c r="L602" i="1"/>
  <c r="L594" i="1"/>
  <c r="L586" i="1"/>
  <c r="L578" i="1"/>
  <c r="L567" i="1"/>
  <c r="L549" i="1"/>
  <c r="L545" i="1"/>
  <c r="L617" i="1"/>
  <c r="L609" i="1"/>
  <c r="L601" i="1"/>
  <c r="L593" i="1"/>
  <c r="L585" i="1"/>
  <c r="L577" i="1"/>
  <c r="L572" i="1"/>
  <c r="L643" i="1"/>
  <c r="L624" i="1"/>
  <c r="L616" i="1"/>
  <c r="L608" i="1"/>
  <c r="L600" i="1"/>
  <c r="L592" i="1"/>
  <c r="L584" i="1"/>
  <c r="L576" i="1"/>
  <c r="L569" i="1"/>
  <c r="L546" i="1"/>
  <c r="L655" i="1"/>
  <c r="L632" i="1"/>
  <c r="L623" i="1"/>
  <c r="L615" i="1"/>
  <c r="L607" i="1"/>
  <c r="L599" i="1"/>
  <c r="L591" i="1"/>
  <c r="L583" i="1"/>
  <c r="L575" i="1"/>
  <c r="L566" i="1"/>
  <c r="L564" i="1"/>
  <c r="L562" i="1"/>
  <c r="L560" i="1"/>
  <c r="L558" i="1"/>
  <c r="L556" i="1"/>
  <c r="L554" i="1"/>
  <c r="L552" i="1"/>
  <c r="L550" i="1"/>
  <c r="L653" i="1"/>
  <c r="L640" i="1"/>
  <c r="L622" i="1"/>
  <c r="L614" i="1"/>
  <c r="L606" i="1"/>
  <c r="L598" i="1"/>
  <c r="L590" i="1"/>
  <c r="L582" i="1"/>
  <c r="L571" i="1"/>
  <c r="L547" i="1"/>
  <c r="L621" i="1"/>
  <c r="L589" i="1"/>
  <c r="L568" i="1"/>
  <c r="L541" i="1"/>
  <c r="L537" i="1"/>
  <c r="L533" i="1"/>
  <c r="L529" i="1"/>
  <c r="L525" i="1"/>
  <c r="L521" i="1"/>
  <c r="L517" i="1"/>
  <c r="L513" i="1"/>
  <c r="L509" i="1"/>
  <c r="L505" i="1"/>
  <c r="L501" i="1"/>
  <c r="L497" i="1"/>
  <c r="L493" i="1"/>
  <c r="L489" i="1"/>
  <c r="L485" i="1"/>
  <c r="L481" i="1"/>
  <c r="L477" i="1"/>
  <c r="L473" i="1"/>
  <c r="L469" i="1"/>
  <c r="L465" i="1"/>
  <c r="L461" i="1"/>
  <c r="L455" i="1"/>
  <c r="L453" i="1"/>
  <c r="L451" i="1"/>
  <c r="L449" i="1"/>
  <c r="L444" i="1"/>
  <c r="L436" i="1"/>
  <c r="L428" i="1"/>
  <c r="L420" i="1"/>
  <c r="L414" i="1"/>
  <c r="L406" i="1"/>
  <c r="L620" i="1"/>
  <c r="L588" i="1"/>
  <c r="L457" i="1"/>
  <c r="L447" i="1"/>
  <c r="L439" i="1"/>
  <c r="L431" i="1"/>
  <c r="L423" i="1"/>
  <c r="L415" i="1"/>
  <c r="L407" i="1"/>
  <c r="L651" i="1"/>
  <c r="L613" i="1"/>
  <c r="L581" i="1"/>
  <c r="L540" i="1"/>
  <c r="L536" i="1"/>
  <c r="L532" i="1"/>
  <c r="L528" i="1"/>
  <c r="L524" i="1"/>
  <c r="L520" i="1"/>
  <c r="L516" i="1"/>
  <c r="L512" i="1"/>
  <c r="L508" i="1"/>
  <c r="L504" i="1"/>
  <c r="L500" i="1"/>
  <c r="L496" i="1"/>
  <c r="L492" i="1"/>
  <c r="L488" i="1"/>
  <c r="L484" i="1"/>
  <c r="L480" i="1"/>
  <c r="L476" i="1"/>
  <c r="L472" i="1"/>
  <c r="L468" i="1"/>
  <c r="L464" i="1"/>
  <c r="L460" i="1"/>
  <c r="L442" i="1"/>
  <c r="L434" i="1"/>
  <c r="L426" i="1"/>
  <c r="L416" i="1"/>
  <c r="L408"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612" i="1"/>
  <c r="L580" i="1"/>
  <c r="L445" i="1"/>
  <c r="L437" i="1"/>
  <c r="L429" i="1"/>
  <c r="L421" i="1"/>
  <c r="L417" i="1"/>
  <c r="L409" i="1"/>
  <c r="L401" i="1"/>
  <c r="L605" i="1"/>
  <c r="L574" i="1"/>
  <c r="L539" i="1"/>
  <c r="L535" i="1"/>
  <c r="L531" i="1"/>
  <c r="L527" i="1"/>
  <c r="L523" i="1"/>
  <c r="L519" i="1"/>
  <c r="L515" i="1"/>
  <c r="L511" i="1"/>
  <c r="L507" i="1"/>
  <c r="L503" i="1"/>
  <c r="L499" i="1"/>
  <c r="L495" i="1"/>
  <c r="L491" i="1"/>
  <c r="L487" i="1"/>
  <c r="L483" i="1"/>
  <c r="L479" i="1"/>
  <c r="L475" i="1"/>
  <c r="L471" i="1"/>
  <c r="L467" i="1"/>
  <c r="L463" i="1"/>
  <c r="L459" i="1"/>
  <c r="L456" i="1"/>
  <c r="L454" i="1"/>
  <c r="L452" i="1"/>
  <c r="L450" i="1"/>
  <c r="L448" i="1"/>
  <c r="L440" i="1"/>
  <c r="L432" i="1"/>
  <c r="L424" i="1"/>
  <c r="L418" i="1"/>
  <c r="L410" i="1"/>
  <c r="L402" i="1"/>
  <c r="L604" i="1"/>
  <c r="L548" i="1"/>
  <c r="L543" i="1"/>
  <c r="L443" i="1"/>
  <c r="L435" i="1"/>
  <c r="L427" i="1"/>
  <c r="L419" i="1"/>
  <c r="L411" i="1"/>
  <c r="L403" i="1"/>
  <c r="L534" i="1"/>
  <c r="L518" i="1"/>
  <c r="L502" i="1"/>
  <c r="L486" i="1"/>
  <c r="L470" i="1"/>
  <c r="L422" i="1"/>
  <c r="L412" i="1"/>
  <c r="L330" i="1"/>
  <c r="L322" i="1"/>
  <c r="L314" i="1"/>
  <c r="L306"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441" i="1"/>
  <c r="L344" i="1"/>
  <c r="L340" i="1"/>
  <c r="L336" i="1"/>
  <c r="L331" i="1"/>
  <c r="L323" i="1"/>
  <c r="L315" i="1"/>
  <c r="L307" i="1"/>
  <c r="L299" i="1"/>
  <c r="L597" i="1"/>
  <c r="L530" i="1"/>
  <c r="L514" i="1"/>
  <c r="L498" i="1"/>
  <c r="L482" i="1"/>
  <c r="L466" i="1"/>
  <c r="L446" i="1"/>
  <c r="L332" i="1"/>
  <c r="L324" i="1"/>
  <c r="L316" i="1"/>
  <c r="L308" i="1"/>
  <c r="L300" i="1"/>
  <c r="L596" i="1"/>
  <c r="L433" i="1"/>
  <c r="L341" i="1"/>
  <c r="L337" i="1"/>
  <c r="L333" i="1"/>
  <c r="L325" i="1"/>
  <c r="L317" i="1"/>
  <c r="L309" i="1"/>
  <c r="L301" i="1"/>
  <c r="L542" i="1"/>
  <c r="L526" i="1"/>
  <c r="L510" i="1"/>
  <c r="L494" i="1"/>
  <c r="L478" i="1"/>
  <c r="L462" i="1"/>
  <c r="L438" i="1"/>
  <c r="L326" i="1"/>
  <c r="L318" i="1"/>
  <c r="L310" i="1"/>
  <c r="L302" i="1"/>
  <c r="L425" i="1"/>
  <c r="L405" i="1"/>
  <c r="L342" i="1"/>
  <c r="L338" i="1"/>
  <c r="L334" i="1"/>
  <c r="L327" i="1"/>
  <c r="L319" i="1"/>
  <c r="L311" i="1"/>
  <c r="L303" i="1"/>
  <c r="L490" i="1"/>
  <c r="L312" i="1"/>
  <c r="L335" i="1"/>
  <c r="L321" i="1"/>
  <c r="L538" i="1"/>
  <c r="L474" i="1"/>
  <c r="L320"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413" i="1"/>
  <c r="L339" i="1"/>
  <c r="L329" i="1"/>
  <c r="L522" i="1"/>
  <c r="L458" i="1"/>
  <c r="L430" i="1"/>
  <c r="L328" i="1"/>
  <c r="L343" i="1"/>
  <c r="L305" i="1"/>
  <c r="L506" i="1"/>
  <c r="L81" i="1"/>
  <c r="L7" i="1"/>
  <c r="L82" i="1"/>
  <c r="L304"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76" i="1"/>
  <c r="L25" i="1"/>
  <c r="L77" i="1"/>
  <c r="L404" i="1"/>
  <c r="L79" i="1"/>
  <c r="L313" i="1"/>
  <c r="L80" i="1"/>
  <c r="L9" i="1"/>
  <c r="L11" i="1"/>
  <c r="L13" i="1"/>
  <c r="L15" i="1"/>
  <c r="L17" i="1"/>
  <c r="K19" i="1"/>
  <c r="I21" i="1"/>
  <c r="I23" i="1"/>
  <c r="I27" i="1"/>
  <c r="K84" i="1"/>
  <c r="I112" i="1"/>
  <c r="I153" i="1"/>
  <c r="I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58" i="1"/>
  <c r="M942" i="1"/>
  <c r="M934" i="1"/>
  <c r="M926" i="1"/>
  <c r="M937" i="1"/>
  <c r="M929"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960" i="1"/>
  <c r="M955" i="1"/>
  <c r="M953" i="1"/>
  <c r="M951" i="1"/>
  <c r="M949" i="1"/>
  <c r="M947" i="1"/>
  <c r="M945" i="1"/>
  <c r="M940" i="1"/>
  <c r="M932" i="1"/>
  <c r="M924" i="1"/>
  <c r="M921" i="1"/>
  <c r="M957" i="1"/>
  <c r="M943" i="1"/>
  <c r="M962" i="1"/>
  <c r="M938" i="1"/>
  <c r="M930" i="1"/>
  <c r="M922" i="1"/>
  <c r="M959" i="1"/>
  <c r="M941" i="1"/>
  <c r="M933" i="1"/>
  <c r="M925" i="1"/>
  <c r="M956" i="1"/>
  <c r="M948" i="1"/>
  <c r="M936" i="1"/>
  <c r="M927" i="1"/>
  <c r="M923" i="1"/>
  <c r="M954" i="1"/>
  <c r="M946" i="1"/>
  <c r="M935" i="1"/>
  <c r="M931" i="1"/>
  <c r="M939" i="1"/>
  <c r="M952" i="1"/>
  <c r="M944" i="1"/>
  <c r="M961" i="1"/>
  <c r="M950" i="1"/>
  <c r="M867" i="1"/>
  <c r="M859" i="1"/>
  <c r="M851" i="1"/>
  <c r="M843" i="1"/>
  <c r="M834" i="1"/>
  <c r="M830" i="1"/>
  <c r="M826" i="1"/>
  <c r="M864" i="1"/>
  <c r="M856" i="1"/>
  <c r="M848"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861" i="1"/>
  <c r="M853" i="1"/>
  <c r="M845" i="1"/>
  <c r="M835" i="1"/>
  <c r="M831" i="1"/>
  <c r="M827" i="1"/>
  <c r="M823" i="1"/>
  <c r="M863" i="1"/>
  <c r="M855" i="1"/>
  <c r="M847" i="1"/>
  <c r="M836" i="1"/>
  <c r="M832" i="1"/>
  <c r="M828" i="1"/>
  <c r="M824" i="1"/>
  <c r="M868" i="1"/>
  <c r="M860" i="1"/>
  <c r="M852" i="1"/>
  <c r="M844" i="1"/>
  <c r="M854" i="1"/>
  <c r="M840" i="1"/>
  <c r="M846" i="1"/>
  <c r="M928" i="1"/>
  <c r="M865" i="1"/>
  <c r="M858" i="1"/>
  <c r="M838" i="1"/>
  <c r="M857" i="1"/>
  <c r="M850" i="1"/>
  <c r="M849" i="1"/>
  <c r="M842" i="1"/>
  <c r="M837" i="1"/>
  <c r="M833" i="1"/>
  <c r="M829" i="1"/>
  <c r="M729" i="1"/>
  <c r="M721" i="1"/>
  <c r="M713" i="1"/>
  <c r="M841" i="1"/>
  <c r="M825" i="1"/>
  <c r="M724" i="1"/>
  <c r="M716" i="1"/>
  <c r="M707"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866" i="1"/>
  <c r="M839" i="1"/>
  <c r="M732" i="1"/>
  <c r="M727" i="1"/>
  <c r="M719" i="1"/>
  <c r="M711" i="1"/>
  <c r="M862" i="1"/>
  <c r="M730" i="1"/>
  <c r="M722" i="1"/>
  <c r="M714" i="1"/>
  <c r="M708" i="1"/>
  <c r="M704" i="1"/>
  <c r="M725" i="1"/>
  <c r="M717" i="1"/>
  <c r="M728" i="1"/>
  <c r="M720" i="1"/>
  <c r="M712" i="1"/>
  <c r="M709" i="1"/>
  <c r="M705" i="1"/>
  <c r="M731" i="1"/>
  <c r="M723" i="1"/>
  <c r="M715" i="1"/>
  <c r="M634" i="1"/>
  <c r="M626" i="1"/>
  <c r="M733" i="1"/>
  <c r="M635" i="1"/>
  <c r="M627" i="1"/>
  <c r="M718" i="1"/>
  <c r="M706" i="1"/>
  <c r="M636" i="1"/>
  <c r="M628" i="1"/>
  <c r="M637" i="1"/>
  <c r="M629" i="1"/>
  <c r="M638" i="1"/>
  <c r="M630" i="1"/>
  <c r="M726" i="1"/>
  <c r="M639" i="1"/>
  <c r="M631" i="1"/>
  <c r="M640" i="1"/>
  <c r="M632"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67" i="1"/>
  <c r="M549" i="1"/>
  <c r="M545" i="1"/>
  <c r="M572" i="1"/>
  <c r="M625" i="1"/>
  <c r="M569" i="1"/>
  <c r="M546" i="1"/>
  <c r="M710" i="1"/>
  <c r="M633" i="1"/>
  <c r="M566" i="1"/>
  <c r="M564" i="1"/>
  <c r="M562" i="1"/>
  <c r="M560" i="1"/>
  <c r="M558" i="1"/>
  <c r="M556" i="1"/>
  <c r="M554" i="1"/>
  <c r="M552" i="1"/>
  <c r="M550" i="1"/>
  <c r="M571" i="1"/>
  <c r="M547" i="1"/>
  <c r="M574" i="1"/>
  <c r="M568"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47" i="1"/>
  <c r="M439" i="1"/>
  <c r="M431" i="1"/>
  <c r="M423" i="1"/>
  <c r="M415" i="1"/>
  <c r="M407" i="1"/>
  <c r="M559" i="1"/>
  <c r="M551" i="1"/>
  <c r="M442" i="1"/>
  <c r="M434" i="1"/>
  <c r="M426" i="1"/>
  <c r="M416" i="1"/>
  <c r="M408"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445" i="1"/>
  <c r="M437" i="1"/>
  <c r="M429" i="1"/>
  <c r="M421" i="1"/>
  <c r="M417" i="1"/>
  <c r="M409" i="1"/>
  <c r="M401" i="1"/>
  <c r="M565" i="1"/>
  <c r="M557" i="1"/>
  <c r="M544" i="1"/>
  <c r="M454" i="1"/>
  <c r="M452" i="1"/>
  <c r="M450" i="1"/>
  <c r="M448" i="1"/>
  <c r="M440" i="1"/>
  <c r="M432" i="1"/>
  <c r="M424" i="1"/>
  <c r="M418" i="1"/>
  <c r="M410" i="1"/>
  <c r="M402" i="1"/>
  <c r="M548" i="1"/>
  <c r="M543" i="1"/>
  <c r="M443" i="1"/>
  <c r="M435" i="1"/>
  <c r="M427" i="1"/>
  <c r="M419" i="1"/>
  <c r="M411" i="1"/>
  <c r="M403" i="1"/>
  <c r="M573" i="1"/>
  <c r="M563" i="1"/>
  <c r="M555" i="1"/>
  <c r="M446" i="1"/>
  <c r="M438" i="1"/>
  <c r="M430" i="1"/>
  <c r="M422" i="1"/>
  <c r="M412" i="1"/>
  <c r="M404" i="1"/>
  <c r="M441" i="1"/>
  <c r="M331" i="1"/>
  <c r="M323" i="1"/>
  <c r="M315" i="1"/>
  <c r="M307" i="1"/>
  <c r="M299" i="1"/>
  <c r="M553" i="1"/>
  <c r="M455" i="1"/>
  <c r="M428" i="1"/>
  <c r="M332" i="1"/>
  <c r="M324" i="1"/>
  <c r="M316" i="1"/>
  <c r="M308" i="1"/>
  <c r="M300" i="1"/>
  <c r="M433" i="1"/>
  <c r="M325" i="1"/>
  <c r="M317" i="1"/>
  <c r="M309" i="1"/>
  <c r="M301" i="1"/>
  <c r="M453" i="1"/>
  <c r="M420" i="1"/>
  <c r="M406" i="1"/>
  <c r="M326" i="1"/>
  <c r="M318" i="1"/>
  <c r="M310" i="1"/>
  <c r="M302" i="1"/>
  <c r="M425" i="1"/>
  <c r="M405" i="1"/>
  <c r="M327" i="1"/>
  <c r="M319" i="1"/>
  <c r="M311" i="1"/>
  <c r="M303" i="1"/>
  <c r="M570" i="1"/>
  <c r="M451" i="1"/>
  <c r="M444" i="1"/>
  <c r="M414" i="1"/>
  <c r="M328" i="1"/>
  <c r="M320" i="1"/>
  <c r="M312" i="1"/>
  <c r="M304" i="1"/>
  <c r="M321" i="1"/>
  <c r="M251" i="1"/>
  <c r="M243" i="1"/>
  <c r="M206" i="1"/>
  <c r="M561" i="1"/>
  <c r="M330" i="1"/>
  <c r="M298" i="1"/>
  <c r="M294" i="1"/>
  <c r="M290" i="1"/>
  <c r="M286" i="1"/>
  <c r="M282" i="1"/>
  <c r="M278" i="1"/>
  <c r="M274" i="1"/>
  <c r="M270" i="1"/>
  <c r="M266" i="1"/>
  <c r="M262" i="1"/>
  <c r="M258" i="1"/>
  <c r="M254" i="1"/>
  <c r="M248" i="1"/>
  <c r="M240"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413" i="1"/>
  <c r="M329" i="1"/>
  <c r="M245" i="1"/>
  <c r="M436" i="1"/>
  <c r="M306" i="1"/>
  <c r="M297" i="1"/>
  <c r="M293" i="1"/>
  <c r="M289" i="1"/>
  <c r="M285" i="1"/>
  <c r="M281" i="1"/>
  <c r="M277" i="1"/>
  <c r="M273" i="1"/>
  <c r="M269" i="1"/>
  <c r="M265" i="1"/>
  <c r="M261" i="1"/>
  <c r="M257" i="1"/>
  <c r="M253" i="1"/>
  <c r="M250" i="1"/>
  <c r="M242" i="1"/>
  <c r="M237" i="1"/>
  <c r="M235" i="1"/>
  <c r="M233" i="1"/>
  <c r="M231" i="1"/>
  <c r="M229" i="1"/>
  <c r="M227" i="1"/>
  <c r="M225" i="1"/>
  <c r="M223" i="1"/>
  <c r="M221" i="1"/>
  <c r="M219" i="1"/>
  <c r="M217" i="1"/>
  <c r="M215" i="1"/>
  <c r="M213" i="1"/>
  <c r="M211" i="1"/>
  <c r="M209" i="1"/>
  <c r="M207" i="1"/>
  <c r="M204" i="1"/>
  <c r="M305" i="1"/>
  <c r="M247" i="1"/>
  <c r="M239" i="1"/>
  <c r="M314" i="1"/>
  <c r="M296" i="1"/>
  <c r="M292" i="1"/>
  <c r="M288" i="1"/>
  <c r="M284" i="1"/>
  <c r="M280" i="1"/>
  <c r="M276" i="1"/>
  <c r="M272" i="1"/>
  <c r="M268" i="1"/>
  <c r="M264" i="1"/>
  <c r="M260" i="1"/>
  <c r="M256" i="1"/>
  <c r="M252" i="1"/>
  <c r="M244" i="1"/>
  <c r="M205" i="1"/>
  <c r="M291" i="1"/>
  <c r="M275" i="1"/>
  <c r="M259" i="1"/>
  <c r="M246" i="1"/>
  <c r="M236" i="1"/>
  <c r="M228" i="1"/>
  <c r="M220" i="1"/>
  <c r="M212"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449" i="1"/>
  <c r="M322" i="1"/>
  <c r="M287" i="1"/>
  <c r="M271" i="1"/>
  <c r="M255" i="1"/>
  <c r="M234" i="1"/>
  <c r="M226" i="1"/>
  <c r="M218" i="1"/>
  <c r="M210" i="1"/>
  <c r="M24" i="1"/>
  <c r="M23" i="1"/>
  <c r="M22" i="1"/>
  <c r="M21" i="1"/>
  <c r="M241" i="1"/>
  <c r="M313" i="1"/>
  <c r="M249" i="1"/>
  <c r="M295" i="1"/>
  <c r="M279" i="1"/>
  <c r="M263" i="1"/>
  <c r="M238" i="1"/>
  <c r="M230" i="1"/>
  <c r="M222" i="1"/>
  <c r="M214" i="1"/>
  <c r="M9" i="1"/>
  <c r="M11" i="1"/>
  <c r="M13" i="1"/>
  <c r="M15" i="1"/>
  <c r="M17" i="1"/>
  <c r="L19" i="1"/>
  <c r="K21" i="1"/>
  <c r="K23" i="1"/>
  <c r="I25" i="1"/>
  <c r="I30" i="1"/>
  <c r="I76" i="1"/>
  <c r="I98" i="1"/>
  <c r="I114" i="1"/>
  <c r="M232" i="1"/>
  <c r="K5" i="1"/>
  <c r="I6" i="1"/>
  <c r="M19" i="1"/>
  <c r="L21" i="1"/>
  <c r="L23" i="1"/>
  <c r="K25" i="1"/>
  <c r="I100" i="1"/>
  <c r="I116" i="1"/>
  <c r="I137" i="1"/>
  <c r="K79" i="1"/>
  <c r="N81" i="1"/>
  <c r="K85" i="1"/>
  <c r="K91" i="1"/>
  <c r="N94" i="1"/>
  <c r="N206" i="1"/>
  <c r="K354" i="1"/>
  <c r="K404" i="1"/>
  <c r="K78" i="1"/>
  <c r="N80" i="1"/>
  <c r="N85" i="1"/>
  <c r="K88" i="1"/>
  <c r="N91" i="1"/>
  <c r="K96" i="1"/>
  <c r="N214" i="1"/>
  <c r="N222" i="1"/>
  <c r="N230" i="1"/>
  <c r="N238" i="1"/>
  <c r="N263" i="1"/>
  <c r="N279" i="1"/>
  <c r="N295" i="1"/>
  <c r="K76" i="1"/>
  <c r="N78" i="1"/>
  <c r="N84" i="1"/>
  <c r="K90" i="1"/>
  <c r="N93" i="1"/>
  <c r="N98" i="1"/>
  <c r="N100" i="1"/>
  <c r="N102" i="1"/>
  <c r="N104" i="1"/>
  <c r="N106" i="1"/>
  <c r="N108" i="1"/>
  <c r="N110" i="1"/>
  <c r="N112" i="1"/>
  <c r="N114" i="1"/>
  <c r="N116" i="1"/>
  <c r="N208" i="1"/>
  <c r="N216" i="1"/>
  <c r="N224" i="1"/>
  <c r="N232" i="1"/>
  <c r="N267" i="1"/>
  <c r="N283" i="1"/>
  <c r="N18" i="1"/>
  <c r="N19" i="1"/>
  <c r="N20"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N77" i="1"/>
  <c r="K83" i="1"/>
  <c r="K87" i="1"/>
  <c r="N90" i="1"/>
  <c r="K95" i="1"/>
  <c r="K304"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921"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870" i="1"/>
  <c r="N835" i="1"/>
  <c r="N831" i="1"/>
  <c r="N827" i="1"/>
  <c r="N823" i="1"/>
  <c r="N869" i="1"/>
  <c r="N833" i="1"/>
  <c r="N829" i="1"/>
  <c r="N825" i="1"/>
  <c r="N828" i="1"/>
  <c r="N751" i="1"/>
  <c r="N743" i="1"/>
  <c r="N735" i="1"/>
  <c r="N824" i="1"/>
  <c r="N752" i="1"/>
  <c r="N744" i="1"/>
  <c r="N736" i="1"/>
  <c r="N834" i="1"/>
  <c r="N746" i="1"/>
  <c r="N738" i="1"/>
  <c r="N830" i="1"/>
  <c r="N747" i="1"/>
  <c r="N739" i="1"/>
  <c r="N826" i="1"/>
  <c r="N748" i="1"/>
  <c r="N740" i="1"/>
  <c r="N836" i="1"/>
  <c r="N724" i="1"/>
  <c r="N716" i="1"/>
  <c r="N707"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741" i="1"/>
  <c r="N732" i="1"/>
  <c r="N727" i="1"/>
  <c r="N719" i="1"/>
  <c r="N711" i="1"/>
  <c r="N750" i="1"/>
  <c r="N730" i="1"/>
  <c r="N722" i="1"/>
  <c r="N714" i="1"/>
  <c r="N708" i="1"/>
  <c r="N704" i="1"/>
  <c r="N725" i="1"/>
  <c r="N717" i="1"/>
  <c r="N749" i="1"/>
  <c r="N737" i="1"/>
  <c r="N734" i="1"/>
  <c r="N728" i="1"/>
  <c r="N720" i="1"/>
  <c r="N712" i="1"/>
  <c r="N709" i="1"/>
  <c r="N705" i="1"/>
  <c r="N832" i="1"/>
  <c r="N731" i="1"/>
  <c r="N723" i="1"/>
  <c r="N715" i="1"/>
  <c r="N733" i="1"/>
  <c r="N726" i="1"/>
  <c r="N718" i="1"/>
  <c r="N710" i="1"/>
  <c r="N706" i="1"/>
  <c r="N721" i="1"/>
  <c r="N729" i="1"/>
  <c r="N745" i="1"/>
  <c r="N713"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742"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543" i="1"/>
  <c r="N416" i="1"/>
  <c r="N408"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417" i="1"/>
  <c r="N409" i="1"/>
  <c r="N401" i="1"/>
  <c r="N544" i="1"/>
  <c r="N418" i="1"/>
  <c r="N410" i="1"/>
  <c r="N402" i="1"/>
  <c r="N411" i="1"/>
  <c r="N403" i="1"/>
  <c r="N412" i="1"/>
  <c r="N404" i="1"/>
  <c r="N413" i="1"/>
  <c r="N405" i="1"/>
  <c r="N407" i="1"/>
  <c r="N406" i="1"/>
  <c r="N415" i="1"/>
  <c r="N414" i="1"/>
  <c r="N294" i="1"/>
  <c r="N290" i="1"/>
  <c r="N286" i="1"/>
  <c r="N282" i="1"/>
  <c r="N278" i="1"/>
  <c r="N274" i="1"/>
  <c r="N270" i="1"/>
  <c r="N266" i="1"/>
  <c r="N262" i="1"/>
  <c r="N258" i="1"/>
  <c r="N254" i="1"/>
  <c r="N248" i="1"/>
  <c r="N240"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245" i="1"/>
  <c r="N297" i="1"/>
  <c r="N293" i="1"/>
  <c r="N289" i="1"/>
  <c r="N285" i="1"/>
  <c r="N281" i="1"/>
  <c r="N277" i="1"/>
  <c r="N273" i="1"/>
  <c r="N269" i="1"/>
  <c r="N265" i="1"/>
  <c r="N261" i="1"/>
  <c r="N257" i="1"/>
  <c r="N253" i="1"/>
  <c r="N250" i="1"/>
  <c r="N242" i="1"/>
  <c r="N237" i="1"/>
  <c r="N235" i="1"/>
  <c r="N233" i="1"/>
  <c r="N231" i="1"/>
  <c r="N229" i="1"/>
  <c r="N227" i="1"/>
  <c r="N225" i="1"/>
  <c r="N223" i="1"/>
  <c r="N221" i="1"/>
  <c r="N219" i="1"/>
  <c r="N217" i="1"/>
  <c r="N215" i="1"/>
  <c r="N213" i="1"/>
  <c r="N211" i="1"/>
  <c r="N209" i="1"/>
  <c r="N207" i="1"/>
  <c r="N204" i="1"/>
  <c r="N247" i="1"/>
  <c r="N239" i="1"/>
  <c r="N296" i="1"/>
  <c r="N292" i="1"/>
  <c r="N288" i="1"/>
  <c r="N284" i="1"/>
  <c r="N280" i="1"/>
  <c r="N276" i="1"/>
  <c r="N272" i="1"/>
  <c r="N268" i="1"/>
  <c r="N264" i="1"/>
  <c r="N260" i="1"/>
  <c r="N256" i="1"/>
  <c r="N252" i="1"/>
  <c r="N244" i="1"/>
  <c r="N205" i="1"/>
  <c r="N249" i="1"/>
  <c r="N241" i="1"/>
  <c r="N21" i="1"/>
  <c r="N22" i="1"/>
  <c r="N23" i="1"/>
  <c r="N24" i="1"/>
  <c r="N76" i="1"/>
  <c r="K82" i="1"/>
  <c r="N83" i="1"/>
  <c r="N87" i="1"/>
  <c r="K92" i="1"/>
  <c r="N95" i="1"/>
  <c r="N210" i="1"/>
  <c r="N218" i="1"/>
  <c r="N226" i="1"/>
  <c r="N234" i="1"/>
  <c r="N255" i="1"/>
  <c r="N271" i="1"/>
  <c r="N287" i="1"/>
  <c r="K342" i="1"/>
  <c r="N25" i="1"/>
  <c r="N75" i="1"/>
  <c r="K81" i="1"/>
  <c r="K86" i="1"/>
  <c r="K89" i="1"/>
  <c r="N92" i="1"/>
  <c r="K97" i="1"/>
  <c r="K1004" i="1"/>
  <c r="K1000" i="1"/>
  <c r="K996" i="1"/>
  <c r="K992" i="1"/>
  <c r="K988" i="1"/>
  <c r="K984" i="1"/>
  <c r="K980" i="1"/>
  <c r="K976" i="1"/>
  <c r="K972" i="1"/>
  <c r="K968" i="1"/>
  <c r="K964" i="1"/>
  <c r="K961" i="1"/>
  <c r="K956" i="1"/>
  <c r="K954" i="1"/>
  <c r="K952" i="1"/>
  <c r="K950" i="1"/>
  <c r="K948" i="1"/>
  <c r="K946" i="1"/>
  <c r="K944" i="1"/>
  <c r="K936" i="1"/>
  <c r="K928" i="1"/>
  <c r="K958" i="1"/>
  <c r="K939" i="1"/>
  <c r="K931" i="1"/>
  <c r="K923" i="1"/>
  <c r="K1003" i="1"/>
  <c r="K999" i="1"/>
  <c r="K995" i="1"/>
  <c r="K991" i="1"/>
  <c r="K987" i="1"/>
  <c r="K983" i="1"/>
  <c r="K979" i="1"/>
  <c r="K975" i="1"/>
  <c r="K971" i="1"/>
  <c r="K967" i="1"/>
  <c r="K963" i="1"/>
  <c r="K942" i="1"/>
  <c r="K934" i="1"/>
  <c r="K926" i="1"/>
  <c r="K960" i="1"/>
  <c r="K1002" i="1"/>
  <c r="K998" i="1"/>
  <c r="K994" i="1"/>
  <c r="K990" i="1"/>
  <c r="K986" i="1"/>
  <c r="K982" i="1"/>
  <c r="K978" i="1"/>
  <c r="K974" i="1"/>
  <c r="K970" i="1"/>
  <c r="K966" i="1"/>
  <c r="K957" i="1"/>
  <c r="K955" i="1"/>
  <c r="K953" i="1"/>
  <c r="K951" i="1"/>
  <c r="K949" i="1"/>
  <c r="K947" i="1"/>
  <c r="K945" i="1"/>
  <c r="K940" i="1"/>
  <c r="K932" i="1"/>
  <c r="K924" i="1"/>
  <c r="K921" i="1"/>
  <c r="K962" i="1"/>
  <c r="K943" i="1"/>
  <c r="K935" i="1"/>
  <c r="K927" i="1"/>
  <c r="K1001" i="1"/>
  <c r="K985" i="1"/>
  <c r="K969" i="1"/>
  <c r="K920" i="1"/>
  <c r="K912" i="1"/>
  <c r="K897" i="1"/>
  <c r="K889" i="1"/>
  <c r="K881" i="1"/>
  <c r="K873" i="1"/>
  <c r="K870" i="1"/>
  <c r="K941" i="1"/>
  <c r="K917" i="1"/>
  <c r="K909" i="1"/>
  <c r="K907" i="1"/>
  <c r="K905" i="1"/>
  <c r="K900" i="1"/>
  <c r="K892" i="1"/>
  <c r="K884" i="1"/>
  <c r="K876" i="1"/>
  <c r="K997" i="1"/>
  <c r="K981" i="1"/>
  <c r="K965" i="1"/>
  <c r="K914" i="1"/>
  <c r="K903" i="1"/>
  <c r="K895" i="1"/>
  <c r="K887" i="1"/>
  <c r="K879" i="1"/>
  <c r="K871" i="1"/>
  <c r="K922" i="1"/>
  <c r="K919" i="1"/>
  <c r="K911" i="1"/>
  <c r="K898" i="1"/>
  <c r="K890" i="1"/>
  <c r="K882" i="1"/>
  <c r="K874" i="1"/>
  <c r="K993" i="1"/>
  <c r="K977" i="1"/>
  <c r="K930" i="1"/>
  <c r="K916" i="1"/>
  <c r="K901" i="1"/>
  <c r="K893" i="1"/>
  <c r="K885" i="1"/>
  <c r="K877" i="1"/>
  <c r="K938" i="1"/>
  <c r="K913" i="1"/>
  <c r="K908" i="1"/>
  <c r="K906" i="1"/>
  <c r="K904" i="1"/>
  <c r="K896" i="1"/>
  <c r="K888" i="1"/>
  <c r="K880" i="1"/>
  <c r="K989" i="1"/>
  <c r="K973" i="1"/>
  <c r="K959" i="1"/>
  <c r="K929" i="1"/>
  <c r="K925" i="1"/>
  <c r="K918" i="1"/>
  <c r="K910" i="1"/>
  <c r="K899" i="1"/>
  <c r="K891" i="1"/>
  <c r="K883" i="1"/>
  <c r="K875" i="1"/>
  <c r="K878" i="1"/>
  <c r="K865" i="1"/>
  <c r="K857" i="1"/>
  <c r="K849" i="1"/>
  <c r="K833" i="1"/>
  <c r="K829" i="1"/>
  <c r="K825" i="1"/>
  <c r="K902" i="1"/>
  <c r="K862" i="1"/>
  <c r="K854" i="1"/>
  <c r="K846" i="1"/>
  <c r="K841" i="1"/>
  <c r="K839" i="1"/>
  <c r="K837" i="1"/>
  <c r="K867" i="1"/>
  <c r="K859" i="1"/>
  <c r="K851" i="1"/>
  <c r="K843" i="1"/>
  <c r="K834" i="1"/>
  <c r="K830" i="1"/>
  <c r="K826" i="1"/>
  <c r="K869" i="1"/>
  <c r="K861" i="1"/>
  <c r="K853" i="1"/>
  <c r="K845" i="1"/>
  <c r="K835" i="1"/>
  <c r="K831" i="1"/>
  <c r="K827" i="1"/>
  <c r="K823" i="1"/>
  <c r="K937" i="1"/>
  <c r="K866" i="1"/>
  <c r="K858" i="1"/>
  <c r="K850" i="1"/>
  <c r="K842" i="1"/>
  <c r="K840" i="1"/>
  <c r="K838" i="1"/>
  <c r="K847" i="1"/>
  <c r="K832" i="1"/>
  <c r="K819" i="1"/>
  <c r="K811" i="1"/>
  <c r="K803" i="1"/>
  <c r="K795" i="1"/>
  <c r="K787" i="1"/>
  <c r="K763" i="1"/>
  <c r="K759" i="1"/>
  <c r="K755" i="1"/>
  <c r="K749" i="1"/>
  <c r="K741" i="1"/>
  <c r="K933" i="1"/>
  <c r="K886" i="1"/>
  <c r="K868" i="1"/>
  <c r="K828" i="1"/>
  <c r="K816" i="1"/>
  <c r="K808" i="1"/>
  <c r="K800" i="1"/>
  <c r="K792" i="1"/>
  <c r="K767" i="1"/>
  <c r="K750" i="1"/>
  <c r="K742"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915" i="1"/>
  <c r="K852" i="1"/>
  <c r="K818" i="1"/>
  <c r="K810" i="1"/>
  <c r="K802" i="1"/>
  <c r="K794" i="1"/>
  <c r="K786" i="1"/>
  <c r="K784" i="1"/>
  <c r="K782" i="1"/>
  <c r="K780" i="1"/>
  <c r="K778" i="1"/>
  <c r="K776" i="1"/>
  <c r="K774" i="1"/>
  <c r="K772" i="1"/>
  <c r="K770" i="1"/>
  <c r="K752" i="1"/>
  <c r="K744" i="1"/>
  <c r="K736" i="1"/>
  <c r="K844" i="1"/>
  <c r="K815" i="1"/>
  <c r="K807" i="1"/>
  <c r="K799" i="1"/>
  <c r="K791" i="1"/>
  <c r="K768" i="1"/>
  <c r="K765" i="1"/>
  <c r="K761" i="1"/>
  <c r="K757" i="1"/>
  <c r="K753" i="1"/>
  <c r="K745" i="1"/>
  <c r="K737" i="1"/>
  <c r="K872" i="1"/>
  <c r="K864" i="1"/>
  <c r="K820" i="1"/>
  <c r="K812" i="1"/>
  <c r="K804" i="1"/>
  <c r="K796" i="1"/>
  <c r="K788" i="1"/>
  <c r="K746" i="1"/>
  <c r="K738" i="1"/>
  <c r="K863" i="1"/>
  <c r="K856" i="1"/>
  <c r="K817" i="1"/>
  <c r="K809" i="1"/>
  <c r="K801" i="1"/>
  <c r="K793" i="1"/>
  <c r="K766" i="1"/>
  <c r="K762" i="1"/>
  <c r="K894" i="1"/>
  <c r="K805" i="1"/>
  <c r="K754" i="1"/>
  <c r="K751" i="1"/>
  <c r="K748" i="1"/>
  <c r="K814" i="1"/>
  <c r="K783" i="1"/>
  <c r="K775" i="1"/>
  <c r="K824" i="1"/>
  <c r="K813" i="1"/>
  <c r="K747" i="1"/>
  <c r="K735" i="1"/>
  <c r="K836" i="1"/>
  <c r="K822" i="1"/>
  <c r="K790" i="1"/>
  <c r="K781" i="1"/>
  <c r="K773"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860" i="1"/>
  <c r="K821" i="1"/>
  <c r="K789" i="1"/>
  <c r="K760" i="1"/>
  <c r="K756" i="1"/>
  <c r="K855" i="1"/>
  <c r="K798" i="1"/>
  <c r="K779" i="1"/>
  <c r="K771" i="1"/>
  <c r="K743" i="1"/>
  <c r="K740" i="1"/>
  <c r="K797" i="1"/>
  <c r="K764" i="1"/>
  <c r="K848" i="1"/>
  <c r="K640" i="1"/>
  <c r="K632"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758" i="1"/>
  <c r="K633" i="1"/>
  <c r="K625" i="1"/>
  <c r="K634" i="1"/>
  <c r="K626" i="1"/>
  <c r="K806" i="1"/>
  <c r="K635" i="1"/>
  <c r="K627" i="1"/>
  <c r="K636" i="1"/>
  <c r="K628" i="1"/>
  <c r="K785" i="1"/>
  <c r="K637" i="1"/>
  <c r="K629" i="1"/>
  <c r="K777" i="1"/>
  <c r="K638" i="1"/>
  <c r="K630" i="1"/>
  <c r="K769" i="1"/>
  <c r="K739" i="1"/>
  <c r="K631" i="1"/>
  <c r="K441" i="1"/>
  <c r="K433" i="1"/>
  <c r="K425" i="1"/>
  <c r="K413" i="1"/>
  <c r="K405" i="1"/>
  <c r="K541" i="1"/>
  <c r="K537" i="1"/>
  <c r="K533" i="1"/>
  <c r="K529" i="1"/>
  <c r="K525" i="1"/>
  <c r="K521" i="1"/>
  <c r="K517" i="1"/>
  <c r="K513" i="1"/>
  <c r="K509" i="1"/>
  <c r="K505" i="1"/>
  <c r="K501" i="1"/>
  <c r="K497" i="1"/>
  <c r="K493" i="1"/>
  <c r="K489" i="1"/>
  <c r="K485" i="1"/>
  <c r="K481" i="1"/>
  <c r="K477" i="1"/>
  <c r="K473" i="1"/>
  <c r="K469" i="1"/>
  <c r="K465" i="1"/>
  <c r="K461" i="1"/>
  <c r="K455" i="1"/>
  <c r="K453" i="1"/>
  <c r="K451" i="1"/>
  <c r="K449" i="1"/>
  <c r="K444" i="1"/>
  <c r="K436" i="1"/>
  <c r="K428" i="1"/>
  <c r="K420" i="1"/>
  <c r="K414" i="1"/>
  <c r="K406" i="1"/>
  <c r="K457" i="1"/>
  <c r="K447" i="1"/>
  <c r="K439" i="1"/>
  <c r="K431" i="1"/>
  <c r="K423" i="1"/>
  <c r="K415" i="1"/>
  <c r="K407" i="1"/>
  <c r="K540" i="1"/>
  <c r="K536" i="1"/>
  <c r="K532" i="1"/>
  <c r="K528" i="1"/>
  <c r="K524" i="1"/>
  <c r="K520" i="1"/>
  <c r="K516" i="1"/>
  <c r="K512" i="1"/>
  <c r="K508" i="1"/>
  <c r="K504" i="1"/>
  <c r="K500" i="1"/>
  <c r="K496" i="1"/>
  <c r="K492" i="1"/>
  <c r="K488" i="1"/>
  <c r="K484" i="1"/>
  <c r="K480" i="1"/>
  <c r="K476" i="1"/>
  <c r="K472" i="1"/>
  <c r="K468" i="1"/>
  <c r="K464" i="1"/>
  <c r="K460" i="1"/>
  <c r="K442" i="1"/>
  <c r="K434" i="1"/>
  <c r="K426" i="1"/>
  <c r="K416" i="1"/>
  <c r="K408"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639" i="1"/>
  <c r="K445" i="1"/>
  <c r="K437" i="1"/>
  <c r="K429" i="1"/>
  <c r="K421" i="1"/>
  <c r="K417" i="1"/>
  <c r="K409" i="1"/>
  <c r="K401" i="1"/>
  <c r="K539" i="1"/>
  <c r="K535" i="1"/>
  <c r="K531" i="1"/>
  <c r="K527" i="1"/>
  <c r="K523" i="1"/>
  <c r="K519" i="1"/>
  <c r="K515" i="1"/>
  <c r="K511" i="1"/>
  <c r="K507" i="1"/>
  <c r="K503" i="1"/>
  <c r="K499" i="1"/>
  <c r="K495" i="1"/>
  <c r="K491" i="1"/>
  <c r="K487" i="1"/>
  <c r="K483" i="1"/>
  <c r="K479" i="1"/>
  <c r="K475" i="1"/>
  <c r="K471" i="1"/>
  <c r="K467" i="1"/>
  <c r="K463" i="1"/>
  <c r="K459" i="1"/>
  <c r="K456" i="1"/>
  <c r="K454" i="1"/>
  <c r="K452" i="1"/>
  <c r="K450" i="1"/>
  <c r="K448" i="1"/>
  <c r="K440" i="1"/>
  <c r="K432" i="1"/>
  <c r="K424" i="1"/>
  <c r="K418" i="1"/>
  <c r="K410" i="1"/>
  <c r="K402" i="1"/>
  <c r="K435" i="1"/>
  <c r="K403" i="1"/>
  <c r="K357" i="1"/>
  <c r="K349" i="1"/>
  <c r="K343" i="1"/>
  <c r="K339" i="1"/>
  <c r="K335" i="1"/>
  <c r="K329" i="1"/>
  <c r="K321" i="1"/>
  <c r="K313" i="1"/>
  <c r="K305" i="1"/>
  <c r="K534" i="1"/>
  <c r="K518" i="1"/>
  <c r="K502" i="1"/>
  <c r="K486" i="1"/>
  <c r="K470" i="1"/>
  <c r="K422" i="1"/>
  <c r="K412" i="1"/>
  <c r="K360" i="1"/>
  <c r="K352" i="1"/>
  <c r="K330" i="1"/>
  <c r="K322" i="1"/>
  <c r="K314" i="1"/>
  <c r="K306"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427" i="1"/>
  <c r="K411" i="1"/>
  <c r="K355" i="1"/>
  <c r="K347" i="1"/>
  <c r="K344" i="1"/>
  <c r="K340" i="1"/>
  <c r="K336" i="1"/>
  <c r="K331" i="1"/>
  <c r="K323" i="1"/>
  <c r="K315" i="1"/>
  <c r="K307" i="1"/>
  <c r="K299" i="1"/>
  <c r="K530" i="1"/>
  <c r="K514" i="1"/>
  <c r="K498" i="1"/>
  <c r="K482" i="1"/>
  <c r="K466" i="1"/>
  <c r="K446" i="1"/>
  <c r="K358" i="1"/>
  <c r="K350" i="1"/>
  <c r="K332" i="1"/>
  <c r="K324" i="1"/>
  <c r="K316" i="1"/>
  <c r="K308" i="1"/>
  <c r="K300" i="1"/>
  <c r="K419" i="1"/>
  <c r="K361" i="1"/>
  <c r="K353" i="1"/>
  <c r="K345" i="1"/>
  <c r="K341" i="1"/>
  <c r="K337" i="1"/>
  <c r="K333" i="1"/>
  <c r="K325" i="1"/>
  <c r="K317" i="1"/>
  <c r="K309" i="1"/>
  <c r="K301" i="1"/>
  <c r="K542" i="1"/>
  <c r="K526" i="1"/>
  <c r="K510" i="1"/>
  <c r="K494" i="1"/>
  <c r="K478" i="1"/>
  <c r="K462" i="1"/>
  <c r="K438" i="1"/>
  <c r="K356" i="1"/>
  <c r="K348" i="1"/>
  <c r="K326" i="1"/>
  <c r="K318" i="1"/>
  <c r="K310" i="1"/>
  <c r="K302" i="1"/>
  <c r="K443" i="1"/>
  <c r="K359" i="1"/>
  <c r="K303" i="1"/>
  <c r="K490" i="1"/>
  <c r="K346" i="1"/>
  <c r="K312" i="1"/>
  <c r="K351" i="1"/>
  <c r="K334" i="1"/>
  <c r="K311" i="1"/>
  <c r="K538" i="1"/>
  <c r="K474" i="1"/>
  <c r="K320"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338" i="1"/>
  <c r="K319" i="1"/>
  <c r="K204" i="1"/>
  <c r="K522" i="1"/>
  <c r="K458" i="1"/>
  <c r="K430" i="1"/>
  <c r="K362" i="1"/>
  <c r="K328" i="1"/>
  <c r="N6"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K80" i="1"/>
  <c r="N82" i="1"/>
  <c r="N86" i="1"/>
  <c r="N89" i="1"/>
  <c r="K94" i="1"/>
  <c r="N97" i="1"/>
  <c r="N99" i="1"/>
  <c r="N101" i="1"/>
  <c r="N103" i="1"/>
  <c r="N105" i="1"/>
  <c r="N107" i="1"/>
  <c r="N109" i="1"/>
  <c r="N111" i="1"/>
  <c r="N113" i="1"/>
  <c r="N115" i="1"/>
  <c r="K205" i="1"/>
  <c r="N212" i="1"/>
  <c r="N220" i="1"/>
  <c r="N228" i="1"/>
  <c r="N236" i="1"/>
  <c r="N246" i="1"/>
  <c r="N259" i="1"/>
  <c r="N275" i="1"/>
  <c r="N291" i="1"/>
  <c r="K327" i="1"/>
  <c r="O5" i="1" l="1"/>
  <c r="O9" i="1"/>
  <c r="O100" i="1"/>
  <c r="O114" i="1"/>
  <c r="O153" i="1"/>
  <c r="O75" i="1"/>
  <c r="O156" i="1"/>
  <c r="O130" i="1"/>
  <c r="O125" i="1"/>
  <c r="O10" i="1"/>
  <c r="P10" i="1" s="1"/>
  <c r="Q10" i="1" s="1"/>
  <c r="O348" i="1"/>
  <c r="O164" i="1"/>
  <c r="O172" i="1"/>
  <c r="O180" i="1"/>
  <c r="O188" i="1"/>
  <c r="O196" i="1"/>
  <c r="P196" i="1" s="1"/>
  <c r="Q196" i="1" s="1"/>
  <c r="O337" i="1"/>
  <c r="O316" i="1"/>
  <c r="O208" i="1"/>
  <c r="O224" i="1"/>
  <c r="O232" i="1"/>
  <c r="O240" i="1"/>
  <c r="O256" i="1"/>
  <c r="O272" i="1"/>
  <c r="P272" i="1" s="1"/>
  <c r="Q272" i="1" s="1"/>
  <c r="O280" i="1"/>
  <c r="O288" i="1"/>
  <c r="P288" i="1" s="1"/>
  <c r="Q288" i="1" s="1"/>
  <c r="O360" i="1"/>
  <c r="O312" i="1"/>
  <c r="O451" i="1"/>
  <c r="O12" i="1"/>
  <c r="O266" i="1"/>
  <c r="O16" i="1"/>
  <c r="P16" i="1" s="1"/>
  <c r="Q16" i="1" s="1"/>
  <c r="O29" i="1"/>
  <c r="O134" i="1"/>
  <c r="P134" i="1" s="1"/>
  <c r="Q134" i="1" s="1"/>
  <c r="O35" i="1"/>
  <c r="O43" i="1"/>
  <c r="O51" i="1"/>
  <c r="O59" i="1"/>
  <c r="O67" i="1"/>
  <c r="O143" i="1"/>
  <c r="P143" i="1" s="1"/>
  <c r="Q143" i="1" s="1"/>
  <c r="O103" i="1"/>
  <c r="O79" i="1"/>
  <c r="O310" i="1"/>
  <c r="O443" i="1"/>
  <c r="O307" i="1"/>
  <c r="O355" i="1"/>
  <c r="O216" i="1"/>
  <c r="O248" i="1"/>
  <c r="P248" i="1" s="1"/>
  <c r="Q248" i="1" s="1"/>
  <c r="O264" i="1"/>
  <c r="O296" i="1"/>
  <c r="P296" i="1" s="1"/>
  <c r="Q296" i="1" s="1"/>
  <c r="O335" i="1"/>
  <c r="O401" i="1"/>
  <c r="O364" i="1"/>
  <c r="O372" i="1"/>
  <c r="O380" i="1"/>
  <c r="O388" i="1"/>
  <c r="P388" i="1" s="1"/>
  <c r="Q388" i="1" s="1"/>
  <c r="O396" i="1"/>
  <c r="O434" i="1"/>
  <c r="P434" i="1" s="1"/>
  <c r="Q434" i="1" s="1"/>
  <c r="O406" i="1"/>
  <c r="O425" i="1"/>
  <c r="O446" i="1"/>
  <c r="O98" i="1"/>
  <c r="O139" i="1"/>
  <c r="O110" i="1"/>
  <c r="P110" i="1" s="1"/>
  <c r="Q110" i="1" s="1"/>
  <c r="O155" i="1"/>
  <c r="O150" i="1"/>
  <c r="P150" i="1" s="1"/>
  <c r="Q150" i="1" s="1"/>
  <c r="O37" i="1"/>
  <c r="O45" i="1"/>
  <c r="O53" i="1"/>
  <c r="O61" i="1"/>
  <c r="O69" i="1"/>
  <c r="O87" i="1"/>
  <c r="P87" i="1" s="1"/>
  <c r="Q87" i="1" s="1"/>
  <c r="O424" i="1"/>
  <c r="O342" i="1"/>
  <c r="P342" i="1" s="1"/>
  <c r="Q342" i="1" s="1"/>
  <c r="O146" i="1"/>
  <c r="O107" i="1"/>
  <c r="O141" i="1"/>
  <c r="O91" i="1"/>
  <c r="O338" i="1"/>
  <c r="O174" i="1"/>
  <c r="P174" i="1" s="1"/>
  <c r="Q174" i="1" s="1"/>
  <c r="O182" i="1"/>
  <c r="O190" i="1"/>
  <c r="P190" i="1" s="1"/>
  <c r="Q190" i="1" s="1"/>
  <c r="O198" i="1"/>
  <c r="O311" i="1"/>
  <c r="O418" i="1"/>
  <c r="O345" i="1"/>
  <c r="O332" i="1"/>
  <c r="O323" i="1"/>
  <c r="P323" i="1" s="1"/>
  <c r="Q323" i="1" s="1"/>
  <c r="O411" i="1"/>
  <c r="O210" i="1"/>
  <c r="P210" i="1" s="1"/>
  <c r="Q210" i="1" s="1"/>
  <c r="O218" i="1"/>
  <c r="O226" i="1"/>
  <c r="O234" i="1"/>
  <c r="O242" i="1"/>
  <c r="O250" i="1"/>
  <c r="O258" i="1"/>
  <c r="P258" i="1" s="1"/>
  <c r="Q258" i="1" s="1"/>
  <c r="O76" i="1"/>
  <c r="O166" i="1"/>
  <c r="P166" i="1" s="1"/>
  <c r="Q166" i="1" s="1"/>
  <c r="O25" i="1"/>
  <c r="O6" i="1"/>
  <c r="O21" i="1"/>
  <c r="O137" i="1"/>
  <c r="O116" i="1"/>
  <c r="O26" i="1"/>
  <c r="P26" i="1" s="1"/>
  <c r="Q26" i="1" s="1"/>
  <c r="O131" i="1"/>
  <c r="O126" i="1"/>
  <c r="P126" i="1" s="1"/>
  <c r="Q126" i="1" s="1"/>
  <c r="O34" i="1"/>
  <c r="O42" i="1"/>
  <c r="O50" i="1"/>
  <c r="O58" i="1"/>
  <c r="O66" i="1"/>
  <c r="O74" i="1"/>
  <c r="P74" i="1" s="1"/>
  <c r="Q74" i="1" s="1"/>
  <c r="O148" i="1"/>
  <c r="O135" i="1"/>
  <c r="P135" i="1" s="1"/>
  <c r="Q135" i="1" s="1"/>
  <c r="O122" i="1"/>
  <c r="O101" i="1"/>
  <c r="O117" i="1"/>
  <c r="O17" i="1"/>
  <c r="O152" i="1"/>
  <c r="O163" i="1"/>
  <c r="P163" i="1" s="1"/>
  <c r="Q163" i="1" s="1"/>
  <c r="O171" i="1"/>
  <c r="O179" i="1"/>
  <c r="P179" i="1" s="1"/>
  <c r="Q179" i="1" s="1"/>
  <c r="O187" i="1"/>
  <c r="O195" i="1"/>
  <c r="O203" i="1"/>
  <c r="O359" i="1"/>
  <c r="O333" i="1"/>
  <c r="O308" i="1"/>
  <c r="P308" i="1" s="1"/>
  <c r="Q308" i="1" s="1"/>
  <c r="O299" i="1"/>
  <c r="O347" i="1"/>
  <c r="P347" i="1" s="1"/>
  <c r="Q347" i="1" s="1"/>
  <c r="O207" i="1"/>
  <c r="O215" i="1"/>
  <c r="O223" i="1"/>
  <c r="O231" i="1"/>
  <c r="O239" i="1"/>
  <c r="O247" i="1"/>
  <c r="P247" i="1" s="1"/>
  <c r="Q247" i="1" s="1"/>
  <c r="O255" i="1"/>
  <c r="O459" i="1"/>
  <c r="P459" i="1" s="1"/>
  <c r="Q459" i="1" s="1"/>
  <c r="O112" i="1"/>
  <c r="O129" i="1"/>
  <c r="O147" i="1"/>
  <c r="O142" i="1"/>
  <c r="O36" i="1"/>
  <c r="O44" i="1"/>
  <c r="O52" i="1"/>
  <c r="O60" i="1"/>
  <c r="O68" i="1"/>
  <c r="O83" i="1"/>
  <c r="O318" i="1"/>
  <c r="O151" i="1"/>
  <c r="O138" i="1"/>
  <c r="O105" i="1"/>
  <c r="O133" i="1"/>
  <c r="O11" i="1"/>
  <c r="O85" i="1"/>
  <c r="O319" i="1"/>
  <c r="O165" i="1"/>
  <c r="O173" i="1"/>
  <c r="O181" i="1"/>
  <c r="O189" i="1"/>
  <c r="O197" i="1"/>
  <c r="O356" i="1"/>
  <c r="O326" i="1"/>
  <c r="O341" i="1"/>
  <c r="O324" i="1"/>
  <c r="O315" i="1"/>
  <c r="O363" i="1"/>
  <c r="O209" i="1"/>
  <c r="O274" i="1"/>
  <c r="O282" i="1"/>
  <c r="P282" i="1" s="1"/>
  <c r="Q282" i="1" s="1"/>
  <c r="O290" i="1"/>
  <c r="O298" i="1"/>
  <c r="O440" i="1"/>
  <c r="O343" i="1"/>
  <c r="O328" i="1"/>
  <c r="O417" i="1"/>
  <c r="P417" i="1" s="1"/>
  <c r="Q417" i="1" s="1"/>
  <c r="O366" i="1"/>
  <c r="O374" i="1"/>
  <c r="P374" i="1" s="1"/>
  <c r="Q374" i="1" s="1"/>
  <c r="O382" i="1"/>
  <c r="O390" i="1"/>
  <c r="O398" i="1"/>
  <c r="O407" i="1"/>
  <c r="O420" i="1"/>
  <c r="O441" i="1"/>
  <c r="P441" i="1" s="1"/>
  <c r="Q441" i="1" s="1"/>
  <c r="O545" i="1"/>
  <c r="O453" i="1"/>
  <c r="P453" i="1" s="1"/>
  <c r="Q453" i="1" s="1"/>
  <c r="O461" i="1"/>
  <c r="O469" i="1"/>
  <c r="O477" i="1"/>
  <c r="O485" i="1"/>
  <c r="O493" i="1"/>
  <c r="O501" i="1"/>
  <c r="P501" i="1" s="1"/>
  <c r="Q501" i="1" s="1"/>
  <c r="O509" i="1"/>
  <c r="O517" i="1"/>
  <c r="P517" i="1" s="1"/>
  <c r="Q517" i="1" s="1"/>
  <c r="O525" i="1"/>
  <c r="O533" i="1"/>
  <c r="O541" i="1"/>
  <c r="O628" i="1"/>
  <c r="O626" i="1"/>
  <c r="O550" i="1"/>
  <c r="P550" i="1" s="1"/>
  <c r="Q550" i="1" s="1"/>
  <c r="O558" i="1"/>
  <c r="O566" i="1"/>
  <c r="P566" i="1" s="1"/>
  <c r="Q566" i="1" s="1"/>
  <c r="O574" i="1"/>
  <c r="O582" i="1"/>
  <c r="O590" i="1"/>
  <c r="O598" i="1"/>
  <c r="O606" i="1"/>
  <c r="O614" i="1"/>
  <c r="O622" i="1"/>
  <c r="O643" i="1"/>
  <c r="P643" i="1" s="1"/>
  <c r="Q643" i="1" s="1"/>
  <c r="O725" i="1"/>
  <c r="O657" i="1"/>
  <c r="O665" i="1"/>
  <c r="O673" i="1"/>
  <c r="O681" i="1"/>
  <c r="O689" i="1"/>
  <c r="O697" i="1"/>
  <c r="O708" i="1"/>
  <c r="P708" i="1" s="1"/>
  <c r="Q708" i="1" s="1"/>
  <c r="O747" i="1"/>
  <c r="O721" i="1"/>
  <c r="O733" i="1"/>
  <c r="O757" i="1"/>
  <c r="O743" i="1"/>
  <c r="O759" i="1"/>
  <c r="P759" i="1" s="1"/>
  <c r="Q759" i="1" s="1"/>
  <c r="O769" i="1"/>
  <c r="O777" i="1"/>
  <c r="P777" i="1" s="1"/>
  <c r="Q777" i="1" s="1"/>
  <c r="O785" i="1"/>
  <c r="O793" i="1"/>
  <c r="O801" i="1"/>
  <c r="O809" i="1"/>
  <c r="O817" i="1"/>
  <c r="O891" i="1"/>
  <c r="O908" i="1"/>
  <c r="O934" i="1"/>
  <c r="P934" i="1" s="1"/>
  <c r="Q934" i="1" s="1"/>
  <c r="O926" i="1"/>
  <c r="O965" i="1"/>
  <c r="O907" i="1"/>
  <c r="O969" i="1"/>
  <c r="O829" i="1"/>
  <c r="O837" i="1"/>
  <c r="P837" i="1" s="1"/>
  <c r="Q837" i="1" s="1"/>
  <c r="O845" i="1"/>
  <c r="O853" i="1"/>
  <c r="P853" i="1" s="1"/>
  <c r="Q853" i="1" s="1"/>
  <c r="O861" i="1"/>
  <c r="O869" i="1"/>
  <c r="O940" i="1"/>
  <c r="O966" i="1"/>
  <c r="O998" i="1"/>
  <c r="O916" i="1"/>
  <c r="P916" i="1" s="1"/>
  <c r="Q916" i="1" s="1"/>
  <c r="O942" i="1"/>
  <c r="O991" i="1"/>
  <c r="P991" i="1" s="1"/>
  <c r="Q991" i="1" s="1"/>
  <c r="O928" i="1"/>
  <c r="O956" i="1"/>
  <c r="O988" i="1"/>
  <c r="O30" i="1"/>
  <c r="O27" i="1"/>
  <c r="O23" i="1"/>
  <c r="P23" i="1" s="1"/>
  <c r="Q23" i="1" s="1"/>
  <c r="O145" i="1"/>
  <c r="O96" i="1"/>
  <c r="P96" i="1" s="1"/>
  <c r="Q96" i="1" s="1"/>
  <c r="O93" i="1"/>
  <c r="O32" i="1"/>
  <c r="O40" i="1"/>
  <c r="O48" i="1"/>
  <c r="O56" i="1"/>
  <c r="O64" i="1"/>
  <c r="P64" i="1" s="1"/>
  <c r="Q64" i="1" s="1"/>
  <c r="O72" i="1"/>
  <c r="O132" i="1"/>
  <c r="P132" i="1" s="1"/>
  <c r="Q132" i="1" s="1"/>
  <c r="O119" i="1"/>
  <c r="O89" i="1"/>
  <c r="O94" i="1"/>
  <c r="O113" i="1"/>
  <c r="O327" i="1"/>
  <c r="O15" i="1"/>
  <c r="P15" i="1" s="1"/>
  <c r="Q15" i="1" s="1"/>
  <c r="O136" i="1"/>
  <c r="O161" i="1"/>
  <c r="P161" i="1" s="1"/>
  <c r="Q161" i="1" s="1"/>
  <c r="O169" i="1"/>
  <c r="O177" i="1"/>
  <c r="O185" i="1"/>
  <c r="O193" i="1"/>
  <c r="O201" i="1"/>
  <c r="O302" i="1"/>
  <c r="P302" i="1" s="1"/>
  <c r="Q302" i="1" s="1"/>
  <c r="O317" i="1"/>
  <c r="O419" i="1"/>
  <c r="P419" i="1" s="1"/>
  <c r="Q419" i="1" s="1"/>
  <c r="O410" i="1"/>
  <c r="O340" i="1"/>
  <c r="O205" i="1"/>
  <c r="O213" i="1"/>
  <c r="O221" i="1"/>
  <c r="O229" i="1"/>
  <c r="P229" i="1" s="1"/>
  <c r="Q229" i="1" s="1"/>
  <c r="O237" i="1"/>
  <c r="O245" i="1"/>
  <c r="P245" i="1" s="1"/>
  <c r="Q245" i="1" s="1"/>
  <c r="O253" i="1"/>
  <c r="O261" i="1"/>
  <c r="O269" i="1"/>
  <c r="O277" i="1"/>
  <c r="O285" i="1"/>
  <c r="O293" i="1"/>
  <c r="P293" i="1" s="1"/>
  <c r="Q293" i="1" s="1"/>
  <c r="O322" i="1"/>
  <c r="O313" i="1"/>
  <c r="P313" i="1" s="1"/>
  <c r="Q313" i="1" s="1"/>
  <c r="O403" i="1"/>
  <c r="O362" i="1"/>
  <c r="O437" i="1"/>
  <c r="O369" i="1"/>
  <c r="O377" i="1"/>
  <c r="O385" i="1"/>
  <c r="P385" i="1" s="1"/>
  <c r="Q385" i="1" s="1"/>
  <c r="O393" i="1"/>
  <c r="O408" i="1"/>
  <c r="P408" i="1" s="1"/>
  <c r="Q408" i="1" s="1"/>
  <c r="O431" i="1"/>
  <c r="O444" i="1"/>
  <c r="O422" i="1"/>
  <c r="O544" i="1"/>
  <c r="O456" i="1"/>
  <c r="O464" i="1"/>
  <c r="P464" i="1" s="1"/>
  <c r="Q464" i="1" s="1"/>
  <c r="O472" i="1"/>
  <c r="O480" i="1"/>
  <c r="P480" i="1" s="1"/>
  <c r="Q480" i="1" s="1"/>
  <c r="O488" i="1"/>
  <c r="O496" i="1"/>
  <c r="O504" i="1"/>
  <c r="O512" i="1"/>
  <c r="O108" i="1"/>
  <c r="O106" i="1"/>
  <c r="P106" i="1" s="1"/>
  <c r="Q106" i="1" s="1"/>
  <c r="O123" i="1"/>
  <c r="O118" i="1"/>
  <c r="P118" i="1" s="1"/>
  <c r="Q118" i="1" s="1"/>
  <c r="O33" i="1"/>
  <c r="O41" i="1"/>
  <c r="O49" i="1"/>
  <c r="O57" i="1"/>
  <c r="O65" i="1"/>
  <c r="O73" i="1"/>
  <c r="P73" i="1" s="1"/>
  <c r="Q73" i="1" s="1"/>
  <c r="O140" i="1"/>
  <c r="O127" i="1"/>
  <c r="P127" i="1" s="1"/>
  <c r="Q127" i="1" s="1"/>
  <c r="O97" i="1"/>
  <c r="O99" i="1"/>
  <c r="O115" i="1"/>
  <c r="O8" i="1"/>
  <c r="O144" i="1"/>
  <c r="O162" i="1"/>
  <c r="P162" i="1" s="1"/>
  <c r="Q162" i="1" s="1"/>
  <c r="O170" i="1"/>
  <c r="O178" i="1"/>
  <c r="P178" i="1" s="1"/>
  <c r="Q178" i="1" s="1"/>
  <c r="O186" i="1"/>
  <c r="O194" i="1"/>
  <c r="O202" i="1"/>
  <c r="O303" i="1"/>
  <c r="O325" i="1"/>
  <c r="O300" i="1"/>
  <c r="P300" i="1" s="1"/>
  <c r="Q300" i="1" s="1"/>
  <c r="O432" i="1"/>
  <c r="O344" i="1"/>
  <c r="P344" i="1" s="1"/>
  <c r="Q344" i="1" s="1"/>
  <c r="O206" i="1"/>
  <c r="O214" i="1"/>
  <c r="O222" i="1"/>
  <c r="O230" i="1"/>
  <c r="O217" i="1"/>
  <c r="O225" i="1"/>
  <c r="O233" i="1"/>
  <c r="O241" i="1"/>
  <c r="P241" i="1" s="1"/>
  <c r="Q241" i="1" s="1"/>
  <c r="O249" i="1"/>
  <c r="O257" i="1"/>
  <c r="O265" i="1"/>
  <c r="O273" i="1"/>
  <c r="O281" i="1"/>
  <c r="O289" i="1"/>
  <c r="P289" i="1" s="1"/>
  <c r="Q289" i="1" s="1"/>
  <c r="O297" i="1"/>
  <c r="O402" i="1"/>
  <c r="P402" i="1" s="1"/>
  <c r="Q402" i="1" s="1"/>
  <c r="O339" i="1"/>
  <c r="O320" i="1"/>
  <c r="O409" i="1"/>
  <c r="O365" i="1"/>
  <c r="O373" i="1"/>
  <c r="O381" i="1"/>
  <c r="O389" i="1"/>
  <c r="O397" i="1"/>
  <c r="P397" i="1" s="1"/>
  <c r="Q397" i="1" s="1"/>
  <c r="O442" i="1"/>
  <c r="O414" i="1"/>
  <c r="O433" i="1"/>
  <c r="O78" i="1"/>
  <c r="O77" i="1"/>
  <c r="O158" i="1"/>
  <c r="P158" i="1" s="1"/>
  <c r="Q158" i="1" s="1"/>
  <c r="O38" i="1"/>
  <c r="O46" i="1"/>
  <c r="O54" i="1"/>
  <c r="O62" i="1"/>
  <c r="O70" i="1"/>
  <c r="O95" i="1"/>
  <c r="O82" i="1"/>
  <c r="O81" i="1"/>
  <c r="P81" i="1" s="1"/>
  <c r="Q81" i="1" s="1"/>
  <c r="O154" i="1"/>
  <c r="O109" i="1"/>
  <c r="P109" i="1" s="1"/>
  <c r="Q109" i="1" s="1"/>
  <c r="O149" i="1"/>
  <c r="O13" i="1"/>
  <c r="O120" i="1"/>
  <c r="O159" i="1"/>
  <c r="O167" i="1"/>
  <c r="O175" i="1"/>
  <c r="P175" i="1" s="1"/>
  <c r="Q175" i="1" s="1"/>
  <c r="O183" i="1"/>
  <c r="O191" i="1"/>
  <c r="P191" i="1" s="1"/>
  <c r="Q191" i="1" s="1"/>
  <c r="O199" i="1"/>
  <c r="O334" i="1"/>
  <c r="O301" i="1"/>
  <c r="O353" i="1"/>
  <c r="O350" i="1"/>
  <c r="O331" i="1"/>
  <c r="P331" i="1" s="1"/>
  <c r="Q331" i="1" s="1"/>
  <c r="O427" i="1"/>
  <c r="O211" i="1"/>
  <c r="P211" i="1" s="1"/>
  <c r="Q211" i="1" s="1"/>
  <c r="O219" i="1"/>
  <c r="O227" i="1"/>
  <c r="O235" i="1"/>
  <c r="O243" i="1"/>
  <c r="O251" i="1"/>
  <c r="O259" i="1"/>
  <c r="P259" i="1" s="1"/>
  <c r="Q259" i="1" s="1"/>
  <c r="O267" i="1"/>
  <c r="O275" i="1"/>
  <c r="P275" i="1" s="1"/>
  <c r="Q275" i="1" s="1"/>
  <c r="O283" i="1"/>
  <c r="O291" i="1"/>
  <c r="O88" i="1"/>
  <c r="O84" i="1"/>
  <c r="O31" i="1"/>
  <c r="O39" i="1"/>
  <c r="P39" i="1" s="1"/>
  <c r="Q39" i="1" s="1"/>
  <c r="O47" i="1"/>
  <c r="O55" i="1"/>
  <c r="O63" i="1"/>
  <c r="O71" i="1"/>
  <c r="O124" i="1"/>
  <c r="O92" i="1"/>
  <c r="O86" i="1"/>
  <c r="O80" i="1"/>
  <c r="P80" i="1" s="1"/>
  <c r="Q80" i="1" s="1"/>
  <c r="O111" i="1"/>
  <c r="O157" i="1"/>
  <c r="P157" i="1" s="1"/>
  <c r="Q157" i="1" s="1"/>
  <c r="O14" i="1"/>
  <c r="O128" i="1"/>
  <c r="O160" i="1"/>
  <c r="P160" i="1" s="1"/>
  <c r="Q160" i="1" s="1"/>
  <c r="O168" i="1"/>
  <c r="O176" i="1"/>
  <c r="O184" i="1"/>
  <c r="P184" i="1" s="1"/>
  <c r="Q184" i="1" s="1"/>
  <c r="O192" i="1"/>
  <c r="O200" i="1"/>
  <c r="P200" i="1" s="1"/>
  <c r="Q200" i="1" s="1"/>
  <c r="O351" i="1"/>
  <c r="O309" i="1"/>
  <c r="O361" i="1"/>
  <c r="O358" i="1"/>
  <c r="O336" i="1"/>
  <c r="O204" i="1"/>
  <c r="P204" i="1" s="1"/>
  <c r="Q204" i="1" s="1"/>
  <c r="O212" i="1"/>
  <c r="O220" i="1"/>
  <c r="P220" i="1" s="1"/>
  <c r="Q220" i="1" s="1"/>
  <c r="O228" i="1"/>
  <c r="O236" i="1"/>
  <c r="O244" i="1"/>
  <c r="O252" i="1"/>
  <c r="O260" i="1"/>
  <c r="O268" i="1"/>
  <c r="P268" i="1" s="1"/>
  <c r="Q268" i="1" s="1"/>
  <c r="O276" i="1"/>
  <c r="O284" i="1"/>
  <c r="P284" i="1" s="1"/>
  <c r="Q284" i="1" s="1"/>
  <c r="O292" i="1"/>
  <c r="O520" i="1"/>
  <c r="O528" i="1"/>
  <c r="O536" i="1"/>
  <c r="O548" i="1"/>
  <c r="O650" i="1"/>
  <c r="P650" i="1" s="1"/>
  <c r="Q650" i="1" s="1"/>
  <c r="O625" i="1"/>
  <c r="O553" i="1"/>
  <c r="P553" i="1" s="1"/>
  <c r="Q553" i="1" s="1"/>
  <c r="O561" i="1"/>
  <c r="O569" i="1"/>
  <c r="O577" i="1"/>
  <c r="O585" i="1"/>
  <c r="O593" i="1"/>
  <c r="O601" i="1"/>
  <c r="P601" i="1" s="1"/>
  <c r="Q601" i="1" s="1"/>
  <c r="O609" i="1"/>
  <c r="O617" i="1"/>
  <c r="P617" i="1" s="1"/>
  <c r="Q617" i="1" s="1"/>
  <c r="O632" i="1"/>
  <c r="O709" i="1"/>
  <c r="O652" i="1"/>
  <c r="P652" i="1" s="1"/>
  <c r="Q652" i="1" s="1"/>
  <c r="O660" i="1"/>
  <c r="O668" i="1"/>
  <c r="O676" i="1"/>
  <c r="P676" i="1" s="1"/>
  <c r="Q676" i="1" s="1"/>
  <c r="O684" i="1"/>
  <c r="O692" i="1"/>
  <c r="P692" i="1" s="1"/>
  <c r="Q692" i="1" s="1"/>
  <c r="O700" i="1"/>
  <c r="O730" i="1"/>
  <c r="O707" i="1"/>
  <c r="O762" i="1"/>
  <c r="O758" i="1"/>
  <c r="O736" i="1"/>
  <c r="P736" i="1" s="1"/>
  <c r="Q736" i="1" s="1"/>
  <c r="O760" i="1"/>
  <c r="O748" i="1"/>
  <c r="P748" i="1" s="1"/>
  <c r="Q748" i="1" s="1"/>
  <c r="O772" i="1"/>
  <c r="O780" i="1"/>
  <c r="O788" i="1"/>
  <c r="O796" i="1"/>
  <c r="O804" i="1"/>
  <c r="O812" i="1"/>
  <c r="P812" i="1" s="1"/>
  <c r="Q812" i="1" s="1"/>
  <c r="O820" i="1"/>
  <c r="O880" i="1"/>
  <c r="P880" i="1" s="1"/>
  <c r="Q880" i="1" s="1"/>
  <c r="O877" i="1"/>
  <c r="O874" i="1"/>
  <c r="O879" i="1"/>
  <c r="O876" i="1"/>
  <c r="O870" i="1"/>
  <c r="O824" i="1"/>
  <c r="P824" i="1" s="1"/>
  <c r="Q824" i="1" s="1"/>
  <c r="O832" i="1"/>
  <c r="O840" i="1"/>
  <c r="P840" i="1" s="1"/>
  <c r="Q840" i="1" s="1"/>
  <c r="O848" i="1"/>
  <c r="O856" i="1"/>
  <c r="O864" i="1"/>
  <c r="O894" i="1"/>
  <c r="O949" i="1"/>
  <c r="O978" i="1"/>
  <c r="P978" i="1" s="1"/>
  <c r="Q978" i="1" s="1"/>
  <c r="O911" i="1"/>
  <c r="O919" i="1"/>
  <c r="P919" i="1" s="1"/>
  <c r="Q919" i="1" s="1"/>
  <c r="O971" i="1"/>
  <c r="O1003" i="1"/>
  <c r="O946" i="1"/>
  <c r="O238" i="1"/>
  <c r="O246" i="1"/>
  <c r="O254" i="1"/>
  <c r="P254" i="1" s="1"/>
  <c r="Q254" i="1" s="1"/>
  <c r="O262" i="1"/>
  <c r="O270" i="1"/>
  <c r="P270" i="1" s="1"/>
  <c r="Q270" i="1" s="1"/>
  <c r="O278" i="1"/>
  <c r="O286" i="1"/>
  <c r="O294" i="1"/>
  <c r="O330" i="1"/>
  <c r="O321" i="1"/>
  <c r="O435" i="1"/>
  <c r="P435" i="1" s="1"/>
  <c r="Q435" i="1" s="1"/>
  <c r="O448" i="1"/>
  <c r="O445" i="1"/>
  <c r="P445" i="1" s="1"/>
  <c r="Q445" i="1" s="1"/>
  <c r="O370" i="1"/>
  <c r="O378" i="1"/>
  <c r="O386" i="1"/>
  <c r="O394" i="1"/>
  <c r="O416" i="1"/>
  <c r="O439" i="1"/>
  <c r="P439" i="1" s="1"/>
  <c r="Q439" i="1" s="1"/>
  <c r="O405" i="1"/>
  <c r="O430" i="1"/>
  <c r="P430" i="1" s="1"/>
  <c r="Q430" i="1" s="1"/>
  <c r="O449" i="1"/>
  <c r="O457" i="1"/>
  <c r="O465" i="1"/>
  <c r="O473" i="1"/>
  <c r="O481" i="1"/>
  <c r="O489" i="1"/>
  <c r="P489" i="1" s="1"/>
  <c r="Q489" i="1" s="1"/>
  <c r="O497" i="1"/>
  <c r="O505" i="1"/>
  <c r="P505" i="1" s="1"/>
  <c r="Q505" i="1" s="1"/>
  <c r="O513" i="1"/>
  <c r="O521" i="1"/>
  <c r="O529" i="1"/>
  <c r="P529" i="1" s="1"/>
  <c r="Q529" i="1" s="1"/>
  <c r="O537" i="1"/>
  <c r="O648" i="1"/>
  <c r="O627" i="1"/>
  <c r="P627" i="1" s="1"/>
  <c r="Q627" i="1" s="1"/>
  <c r="O633" i="1"/>
  <c r="O554" i="1"/>
  <c r="P554" i="1" s="1"/>
  <c r="Q554" i="1" s="1"/>
  <c r="O562" i="1"/>
  <c r="O570" i="1"/>
  <c r="O578" i="1"/>
  <c r="O586" i="1"/>
  <c r="O594" i="1"/>
  <c r="O602" i="1"/>
  <c r="P602" i="1" s="1"/>
  <c r="Q602" i="1" s="1"/>
  <c r="O610" i="1"/>
  <c r="O618" i="1"/>
  <c r="P618" i="1" s="1"/>
  <c r="Q618" i="1" s="1"/>
  <c r="O640" i="1"/>
  <c r="O712" i="1"/>
  <c r="O653" i="1"/>
  <c r="O661" i="1"/>
  <c r="O669" i="1"/>
  <c r="O677" i="1"/>
  <c r="P677" i="1" s="1"/>
  <c r="Q677" i="1" s="1"/>
  <c r="O685" i="1"/>
  <c r="O693" i="1"/>
  <c r="P693" i="1" s="1"/>
  <c r="Q693" i="1" s="1"/>
  <c r="O701" i="1"/>
  <c r="O711" i="1"/>
  <c r="O716" i="1"/>
  <c r="P716" i="1" s="1"/>
  <c r="Q716" i="1" s="1"/>
  <c r="O706" i="1"/>
  <c r="O899" i="1"/>
  <c r="O744" i="1"/>
  <c r="P744" i="1" s="1"/>
  <c r="Q744" i="1" s="1"/>
  <c r="O764" i="1"/>
  <c r="O823" i="1"/>
  <c r="P823" i="1" s="1"/>
  <c r="Q823" i="1" s="1"/>
  <c r="O773" i="1"/>
  <c r="O781" i="1"/>
  <c r="O789" i="1"/>
  <c r="P789" i="1" s="1"/>
  <c r="Q789" i="1" s="1"/>
  <c r="O797" i="1"/>
  <c r="O805" i="1"/>
  <c r="O813" i="1"/>
  <c r="P813" i="1" s="1"/>
  <c r="Q813" i="1" s="1"/>
  <c r="O821" i="1"/>
  <c r="O888" i="1"/>
  <c r="P888" i="1" s="1"/>
  <c r="Q888" i="1" s="1"/>
  <c r="O885" i="1"/>
  <c r="O882" i="1"/>
  <c r="O887" i="1"/>
  <c r="O884" i="1"/>
  <c r="O873" i="1"/>
  <c r="O825" i="1"/>
  <c r="P825" i="1" s="1"/>
  <c r="Q825" i="1" s="1"/>
  <c r="O833" i="1"/>
  <c r="O841" i="1"/>
  <c r="P841" i="1" s="1"/>
  <c r="Q841" i="1" s="1"/>
  <c r="O849" i="1"/>
  <c r="O857" i="1"/>
  <c r="O865" i="1"/>
  <c r="O902" i="1"/>
  <c r="O951" i="1"/>
  <c r="O982" i="1"/>
  <c r="P982" i="1" s="1"/>
  <c r="Q982" i="1" s="1"/>
  <c r="O912" i="1"/>
  <c r="O920" i="1"/>
  <c r="P920" i="1" s="1"/>
  <c r="Q920" i="1" s="1"/>
  <c r="O263" i="1"/>
  <c r="O271" i="1"/>
  <c r="O279" i="1"/>
  <c r="O287" i="1"/>
  <c r="O295" i="1"/>
  <c r="O352" i="1"/>
  <c r="P352" i="1" s="1"/>
  <c r="Q352" i="1" s="1"/>
  <c r="O329" i="1"/>
  <c r="O304" i="1"/>
  <c r="P304" i="1" s="1"/>
  <c r="Q304" i="1" s="1"/>
  <c r="O630" i="1"/>
  <c r="O638" i="1"/>
  <c r="O371" i="1"/>
  <c r="O379" i="1"/>
  <c r="O387" i="1"/>
  <c r="O395" i="1"/>
  <c r="P395" i="1" s="1"/>
  <c r="Q395" i="1" s="1"/>
  <c r="O426" i="1"/>
  <c r="O447" i="1"/>
  <c r="P447" i="1" s="1"/>
  <c r="Q447" i="1" s="1"/>
  <c r="O413" i="1"/>
  <c r="O438" i="1"/>
  <c r="O450" i="1"/>
  <c r="P450" i="1" s="1"/>
  <c r="Q450" i="1" s="1"/>
  <c r="O458" i="1"/>
  <c r="O466" i="1"/>
  <c r="O474" i="1"/>
  <c r="P474" i="1" s="1"/>
  <c r="Q474" i="1" s="1"/>
  <c r="O482" i="1"/>
  <c r="O490" i="1"/>
  <c r="P490" i="1" s="1"/>
  <c r="Q490" i="1" s="1"/>
  <c r="O498" i="1"/>
  <c r="O506" i="1"/>
  <c r="O514" i="1"/>
  <c r="P514" i="1" s="1"/>
  <c r="Q514" i="1" s="1"/>
  <c r="O522" i="1"/>
  <c r="O530" i="1"/>
  <c r="O538" i="1"/>
  <c r="P538" i="1" s="1"/>
  <c r="Q538" i="1" s="1"/>
  <c r="O629" i="1"/>
  <c r="O635" i="1"/>
  <c r="P635" i="1" s="1"/>
  <c r="Q635" i="1" s="1"/>
  <c r="O641" i="1"/>
  <c r="O555" i="1"/>
  <c r="O563" i="1"/>
  <c r="O571" i="1"/>
  <c r="O579" i="1"/>
  <c r="O587" i="1"/>
  <c r="P587" i="1" s="1"/>
  <c r="Q587" i="1" s="1"/>
  <c r="O595" i="1"/>
  <c r="O603" i="1"/>
  <c r="P603" i="1" s="1"/>
  <c r="Q603" i="1" s="1"/>
  <c r="O611" i="1"/>
  <c r="O619" i="1"/>
  <c r="O646" i="1"/>
  <c r="O720" i="1"/>
  <c r="O654" i="1"/>
  <c r="O662" i="1"/>
  <c r="P662" i="1" s="1"/>
  <c r="Q662" i="1" s="1"/>
  <c r="O670" i="1"/>
  <c r="O678" i="1"/>
  <c r="P678" i="1" s="1"/>
  <c r="Q678" i="1" s="1"/>
  <c r="O686" i="1"/>
  <c r="O694" i="1"/>
  <c r="O702" i="1"/>
  <c r="O719" i="1"/>
  <c r="O724" i="1"/>
  <c r="O710" i="1"/>
  <c r="P710" i="1" s="1"/>
  <c r="Q710" i="1" s="1"/>
  <c r="O737" i="1"/>
  <c r="O752" i="1"/>
  <c r="P752" i="1" s="1"/>
  <c r="Q752" i="1" s="1"/>
  <c r="O741" i="1"/>
  <c r="O883" i="1"/>
  <c r="O774" i="1"/>
  <c r="O782" i="1"/>
  <c r="O790" i="1"/>
  <c r="O798" i="1"/>
  <c r="P798" i="1" s="1"/>
  <c r="Q798" i="1" s="1"/>
  <c r="O806" i="1"/>
  <c r="O814" i="1"/>
  <c r="P814" i="1" s="1"/>
  <c r="Q814" i="1" s="1"/>
  <c r="O822" i="1"/>
  <c r="O896" i="1"/>
  <c r="O893" i="1"/>
  <c r="O890" i="1"/>
  <c r="O895" i="1"/>
  <c r="O892" i="1"/>
  <c r="P892" i="1" s="1"/>
  <c r="Q892" i="1" s="1"/>
  <c r="O881" i="1"/>
  <c r="O826" i="1"/>
  <c r="P826" i="1" s="1"/>
  <c r="Q826" i="1" s="1"/>
  <c r="O834" i="1"/>
  <c r="O842" i="1"/>
  <c r="O850" i="1"/>
  <c r="O858" i="1"/>
  <c r="O866" i="1"/>
  <c r="O921" i="1"/>
  <c r="P921" i="1" s="1"/>
  <c r="Q921" i="1" s="1"/>
  <c r="O953" i="1"/>
  <c r="O986" i="1"/>
  <c r="P986" i="1" s="1"/>
  <c r="Q986" i="1" s="1"/>
  <c r="O913" i="1"/>
  <c r="O929" i="1"/>
  <c r="O979" i="1"/>
  <c r="O931" i="1"/>
  <c r="O950" i="1"/>
  <c r="P950" i="1" s="1"/>
  <c r="Q950" i="1" s="1"/>
  <c r="O976" i="1"/>
  <c r="P976" i="1" s="1"/>
  <c r="Q976" i="1" s="1"/>
  <c r="O925" i="1"/>
  <c r="O467" i="1"/>
  <c r="P467" i="1" s="1"/>
  <c r="Q467" i="1" s="1"/>
  <c r="O475" i="1"/>
  <c r="O483" i="1"/>
  <c r="O491" i="1"/>
  <c r="O499" i="1"/>
  <c r="O507" i="1"/>
  <c r="O515" i="1"/>
  <c r="P515" i="1" s="1"/>
  <c r="Q515" i="1" s="1"/>
  <c r="O523" i="1"/>
  <c r="O531" i="1"/>
  <c r="P531" i="1" s="1"/>
  <c r="Q531" i="1" s="1"/>
  <c r="O539" i="1"/>
  <c r="O637" i="1"/>
  <c r="O647" i="1"/>
  <c r="P647" i="1" s="1"/>
  <c r="Q647" i="1" s="1"/>
  <c r="O649" i="1"/>
  <c r="O556" i="1"/>
  <c r="O564" i="1"/>
  <c r="P564" i="1" s="1"/>
  <c r="Q564" i="1" s="1"/>
  <c r="O572" i="1"/>
  <c r="O580" i="1"/>
  <c r="P580" i="1" s="1"/>
  <c r="Q580" i="1" s="1"/>
  <c r="O588" i="1"/>
  <c r="O596" i="1"/>
  <c r="O604" i="1"/>
  <c r="P604" i="1" s="1"/>
  <c r="Q604" i="1" s="1"/>
  <c r="O612" i="1"/>
  <c r="O620" i="1"/>
  <c r="P620" i="1" s="1"/>
  <c r="Q620" i="1" s="1"/>
  <c r="O631" i="1"/>
  <c r="P631" i="1" s="1"/>
  <c r="Q631" i="1" s="1"/>
  <c r="O728" i="1"/>
  <c r="O655" i="1"/>
  <c r="P655" i="1" s="1"/>
  <c r="Q655" i="1" s="1"/>
  <c r="O663" i="1"/>
  <c r="O671" i="1"/>
  <c r="O679" i="1"/>
  <c r="O687" i="1"/>
  <c r="O695" i="1"/>
  <c r="O703" i="1"/>
  <c r="P703" i="1" s="1"/>
  <c r="Q703" i="1" s="1"/>
  <c r="O727" i="1"/>
  <c r="O738" i="1"/>
  <c r="P738" i="1" s="1"/>
  <c r="Q738" i="1" s="1"/>
  <c r="O718" i="1"/>
  <c r="O745" i="1"/>
  <c r="O875" i="1"/>
  <c r="O749" i="1"/>
  <c r="O767" i="1"/>
  <c r="O775" i="1"/>
  <c r="P775" i="1" s="1"/>
  <c r="Q775" i="1" s="1"/>
  <c r="O783" i="1"/>
  <c r="O791" i="1"/>
  <c r="P791" i="1" s="1"/>
  <c r="Q791" i="1" s="1"/>
  <c r="O799" i="1"/>
  <c r="O807" i="1"/>
  <c r="O815" i="1"/>
  <c r="P815" i="1" s="1"/>
  <c r="Q815" i="1" s="1"/>
  <c r="O959" i="1"/>
  <c r="O904" i="1"/>
  <c r="O901" i="1"/>
  <c r="P901" i="1" s="1"/>
  <c r="Q901" i="1" s="1"/>
  <c r="O898" i="1"/>
  <c r="O903" i="1"/>
  <c r="P903" i="1" s="1"/>
  <c r="Q903" i="1" s="1"/>
  <c r="O900" i="1"/>
  <c r="O889" i="1"/>
  <c r="O827" i="1"/>
  <c r="P827" i="1" s="1"/>
  <c r="Q827" i="1" s="1"/>
  <c r="O835" i="1"/>
  <c r="O843" i="1"/>
  <c r="P843" i="1" s="1"/>
  <c r="Q843" i="1" s="1"/>
  <c r="O851" i="1"/>
  <c r="P851" i="1" s="1"/>
  <c r="Q851" i="1" s="1"/>
  <c r="O859" i="1"/>
  <c r="O867" i="1"/>
  <c r="P867" i="1" s="1"/>
  <c r="Q867" i="1" s="1"/>
  <c r="O924" i="1"/>
  <c r="O955" i="1"/>
  <c r="O990" i="1"/>
  <c r="P990" i="1" s="1"/>
  <c r="Q990" i="1" s="1"/>
  <c r="O914" i="1"/>
  <c r="O937" i="1"/>
  <c r="O983" i="1"/>
  <c r="P983" i="1" s="1"/>
  <c r="Q983" i="1" s="1"/>
  <c r="O939" i="1"/>
  <c r="O952" i="1"/>
  <c r="P952" i="1" s="1"/>
  <c r="Q952" i="1" s="1"/>
  <c r="O980" i="1"/>
  <c r="O933" i="1"/>
  <c r="O546" i="1"/>
  <c r="O452" i="1"/>
  <c r="O460" i="1"/>
  <c r="O468" i="1"/>
  <c r="P468" i="1" s="1"/>
  <c r="Q468" i="1" s="1"/>
  <c r="O476" i="1"/>
  <c r="O484" i="1"/>
  <c r="P484" i="1" s="1"/>
  <c r="Q484" i="1" s="1"/>
  <c r="O492" i="1"/>
  <c r="O500" i="1"/>
  <c r="O508" i="1"/>
  <c r="O516" i="1"/>
  <c r="O524" i="1"/>
  <c r="O532" i="1"/>
  <c r="P532" i="1" s="1"/>
  <c r="Q532" i="1" s="1"/>
  <c r="O540" i="1"/>
  <c r="O645" i="1"/>
  <c r="P645" i="1" s="1"/>
  <c r="Q645" i="1" s="1"/>
  <c r="O715" i="1"/>
  <c r="O731" i="1"/>
  <c r="O557" i="1"/>
  <c r="P557" i="1" s="1"/>
  <c r="Q557" i="1" s="1"/>
  <c r="O565" i="1"/>
  <c r="O573" i="1"/>
  <c r="O581" i="1"/>
  <c r="P581" i="1" s="1"/>
  <c r="Q581" i="1" s="1"/>
  <c r="O589" i="1"/>
  <c r="O597" i="1"/>
  <c r="P597" i="1" s="1"/>
  <c r="Q597" i="1" s="1"/>
  <c r="O605" i="1"/>
  <c r="O613" i="1"/>
  <c r="O621" i="1"/>
  <c r="O639" i="1"/>
  <c r="O717" i="1"/>
  <c r="P717" i="1" s="1"/>
  <c r="Q717" i="1" s="1"/>
  <c r="O656" i="1"/>
  <c r="P656" i="1" s="1"/>
  <c r="Q656" i="1" s="1"/>
  <c r="O664" i="1"/>
  <c r="O672" i="1"/>
  <c r="P672" i="1" s="1"/>
  <c r="Q672" i="1" s="1"/>
  <c r="O680" i="1"/>
  <c r="O688" i="1"/>
  <c r="O696" i="1"/>
  <c r="O704" i="1"/>
  <c r="O732" i="1"/>
  <c r="O713" i="1"/>
  <c r="P713" i="1" s="1"/>
  <c r="Q713" i="1" s="1"/>
  <c r="O726" i="1"/>
  <c r="O753" i="1"/>
  <c r="P753" i="1" s="1"/>
  <c r="Q753" i="1" s="1"/>
  <c r="O735" i="1"/>
  <c r="O755" i="1"/>
  <c r="O768" i="1"/>
  <c r="O776" i="1"/>
  <c r="O784" i="1"/>
  <c r="O792" i="1"/>
  <c r="P792" i="1" s="1"/>
  <c r="Q792" i="1" s="1"/>
  <c r="O800" i="1"/>
  <c r="O808" i="1"/>
  <c r="P808" i="1" s="1"/>
  <c r="Q808" i="1" s="1"/>
  <c r="O816" i="1"/>
  <c r="O973" i="1"/>
  <c r="O906" i="1"/>
  <c r="P906" i="1" s="1"/>
  <c r="Q906" i="1" s="1"/>
  <c r="O930" i="1"/>
  <c r="O922" i="1"/>
  <c r="O935" i="1"/>
  <c r="P935" i="1" s="1"/>
  <c r="Q935" i="1" s="1"/>
  <c r="O905" i="1"/>
  <c r="O897" i="1"/>
  <c r="P897" i="1" s="1"/>
  <c r="Q897" i="1" s="1"/>
  <c r="O828" i="1"/>
  <c r="O836" i="1"/>
  <c r="O844" i="1"/>
  <c r="O852" i="1"/>
  <c r="O860" i="1"/>
  <c r="P860" i="1" s="1"/>
  <c r="Q860" i="1" s="1"/>
  <c r="O868" i="1"/>
  <c r="P868" i="1" s="1"/>
  <c r="Q868" i="1" s="1"/>
  <c r="O932" i="1"/>
  <c r="O957" i="1"/>
  <c r="P957" i="1" s="1"/>
  <c r="Q957" i="1" s="1"/>
  <c r="O994" i="1"/>
  <c r="O915" i="1"/>
  <c r="O960" i="1"/>
  <c r="P960" i="1" s="1"/>
  <c r="Q960" i="1" s="1"/>
  <c r="O987" i="1"/>
  <c r="O958" i="1"/>
  <c r="O954" i="1"/>
  <c r="P954" i="1" s="1"/>
  <c r="Q954" i="1" s="1"/>
  <c r="O984" i="1"/>
  <c r="O941" i="1"/>
  <c r="P941" i="1" s="1"/>
  <c r="Q941" i="1" s="1"/>
  <c r="O102" i="1"/>
  <c r="O306" i="1"/>
  <c r="O547" i="1"/>
  <c r="O349" i="1"/>
  <c r="O346" i="1"/>
  <c r="P346" i="1" s="1"/>
  <c r="Q346" i="1" s="1"/>
  <c r="O421" i="1"/>
  <c r="P421" i="1" s="1"/>
  <c r="Q421" i="1" s="1"/>
  <c r="O367" i="1"/>
  <c r="O375" i="1"/>
  <c r="P375" i="1" s="1"/>
  <c r="Q375" i="1" s="1"/>
  <c r="O383" i="1"/>
  <c r="O391" i="1"/>
  <c r="O399" i="1"/>
  <c r="P399" i="1" s="1"/>
  <c r="Q399" i="1" s="1"/>
  <c r="O415" i="1"/>
  <c r="O428" i="1"/>
  <c r="P428" i="1" s="1"/>
  <c r="Q428" i="1" s="1"/>
  <c r="O404" i="1"/>
  <c r="P404" i="1" s="1"/>
  <c r="Q404" i="1" s="1"/>
  <c r="O549" i="1"/>
  <c r="O454" i="1"/>
  <c r="P454" i="1" s="1"/>
  <c r="Q454" i="1" s="1"/>
  <c r="O462" i="1"/>
  <c r="O470" i="1"/>
  <c r="O478" i="1"/>
  <c r="O486" i="1"/>
  <c r="O494" i="1"/>
  <c r="P494" i="1" s="1"/>
  <c r="Q494" i="1" s="1"/>
  <c r="O502" i="1"/>
  <c r="P502" i="1" s="1"/>
  <c r="Q502" i="1" s="1"/>
  <c r="O510" i="1"/>
  <c r="O518" i="1"/>
  <c r="P518" i="1" s="1"/>
  <c r="Q518" i="1" s="1"/>
  <c r="O526" i="1"/>
  <c r="O534" i="1"/>
  <c r="O542" i="1"/>
  <c r="P542" i="1" s="1"/>
  <c r="Q542" i="1" s="1"/>
  <c r="O636" i="1"/>
  <c r="O634" i="1"/>
  <c r="P634" i="1" s="1"/>
  <c r="Q634" i="1" s="1"/>
  <c r="O551" i="1"/>
  <c r="P551" i="1" s="1"/>
  <c r="Q551" i="1" s="1"/>
  <c r="O559" i="1"/>
  <c r="O567" i="1"/>
  <c r="P567" i="1" s="1"/>
  <c r="Q567" i="1" s="1"/>
  <c r="O575" i="1"/>
  <c r="O583" i="1"/>
  <c r="O591" i="1"/>
  <c r="O599" i="1"/>
  <c r="O607" i="1"/>
  <c r="P607" i="1" s="1"/>
  <c r="Q607" i="1" s="1"/>
  <c r="O615" i="1"/>
  <c r="P615" i="1" s="1"/>
  <c r="Q615" i="1" s="1"/>
  <c r="O623" i="1"/>
  <c r="O651" i="1"/>
  <c r="P651" i="1" s="1"/>
  <c r="Q651" i="1" s="1"/>
  <c r="O734" i="1"/>
  <c r="O658" i="1"/>
  <c r="O666" i="1"/>
  <c r="O674" i="1"/>
  <c r="O682" i="1"/>
  <c r="P682" i="1" s="1"/>
  <c r="Q682" i="1" s="1"/>
  <c r="O690" i="1"/>
  <c r="P690" i="1" s="1"/>
  <c r="Q690" i="1" s="1"/>
  <c r="O698" i="1"/>
  <c r="O714" i="1"/>
  <c r="P714" i="1" s="1"/>
  <c r="Q714" i="1" s="1"/>
  <c r="O750" i="1"/>
  <c r="O729" i="1"/>
  <c r="O739" i="1"/>
  <c r="O761" i="1"/>
  <c r="O751" i="1"/>
  <c r="P751" i="1" s="1"/>
  <c r="Q751" i="1" s="1"/>
  <c r="O763" i="1"/>
  <c r="P763" i="1" s="1"/>
  <c r="Q763" i="1" s="1"/>
  <c r="O770" i="1"/>
  <c r="O778" i="1"/>
  <c r="P778" i="1" s="1"/>
  <c r="Q778" i="1" s="1"/>
  <c r="O786" i="1"/>
  <c r="O794" i="1"/>
  <c r="O802" i="1"/>
  <c r="O810" i="1"/>
  <c r="O818" i="1"/>
  <c r="P818" i="1" s="1"/>
  <c r="Q818" i="1" s="1"/>
  <c r="O989" i="1"/>
  <c r="P989" i="1" s="1"/>
  <c r="Q989" i="1" s="1"/>
  <c r="O938" i="1"/>
  <c r="O977" i="1"/>
  <c r="P977" i="1" s="1"/>
  <c r="Q977" i="1" s="1"/>
  <c r="O962" i="1"/>
  <c r="O981" i="1"/>
  <c r="O909" i="1"/>
  <c r="O985" i="1"/>
  <c r="O830" i="1"/>
  <c r="P830" i="1" s="1"/>
  <c r="Q830" i="1" s="1"/>
  <c r="O838" i="1"/>
  <c r="P838" i="1" s="1"/>
  <c r="Q838" i="1" s="1"/>
  <c r="O846" i="1"/>
  <c r="O854" i="1"/>
  <c r="P854" i="1" s="1"/>
  <c r="Q854" i="1" s="1"/>
  <c r="O862" i="1"/>
  <c r="O878" i="1"/>
  <c r="O945" i="1"/>
  <c r="P945" i="1" s="1"/>
  <c r="Q945" i="1" s="1"/>
  <c r="O970" i="1"/>
  <c r="O1002" i="1"/>
  <c r="P1002" i="1" s="1"/>
  <c r="Q1002" i="1" s="1"/>
  <c r="O917" i="1"/>
  <c r="P917" i="1" s="1"/>
  <c r="Q917" i="1" s="1"/>
  <c r="O963" i="1"/>
  <c r="O995" i="1"/>
  <c r="P995" i="1" s="1"/>
  <c r="Q995" i="1" s="1"/>
  <c r="O936" i="1"/>
  <c r="O961" i="1"/>
  <c r="O992" i="1"/>
  <c r="O104" i="1"/>
  <c r="O28" i="1"/>
  <c r="P28" i="1" s="1"/>
  <c r="Q28" i="1" s="1"/>
  <c r="O7" i="1"/>
  <c r="P7" i="1" s="1"/>
  <c r="Q7" i="1" s="1"/>
  <c r="O314" i="1"/>
  <c r="O305" i="1"/>
  <c r="P305" i="1" s="1"/>
  <c r="Q305" i="1" s="1"/>
  <c r="O357" i="1"/>
  <c r="O354" i="1"/>
  <c r="P354" i="1" s="1"/>
  <c r="Q354" i="1" s="1"/>
  <c r="O429" i="1"/>
  <c r="P429" i="1" s="1"/>
  <c r="Q429" i="1" s="1"/>
  <c r="O368" i="1"/>
  <c r="P368" i="1" s="1"/>
  <c r="Q368" i="1" s="1"/>
  <c r="O376" i="1"/>
  <c r="O384" i="1"/>
  <c r="P384" i="1" s="1"/>
  <c r="Q384" i="1" s="1"/>
  <c r="O392" i="1"/>
  <c r="P392" i="1" s="1"/>
  <c r="Q392" i="1" s="1"/>
  <c r="O400" i="1"/>
  <c r="P400" i="1" s="1"/>
  <c r="Q400" i="1" s="1"/>
  <c r="O423" i="1"/>
  <c r="P423" i="1" s="1"/>
  <c r="Q423" i="1" s="1"/>
  <c r="O436" i="1"/>
  <c r="P436" i="1" s="1"/>
  <c r="Q436" i="1" s="1"/>
  <c r="O412" i="1"/>
  <c r="P412" i="1" s="1"/>
  <c r="Q412" i="1" s="1"/>
  <c r="O723" i="1"/>
  <c r="O455" i="1"/>
  <c r="P455" i="1" s="1"/>
  <c r="Q455" i="1" s="1"/>
  <c r="O463" i="1"/>
  <c r="P463" i="1" s="1"/>
  <c r="Q463" i="1" s="1"/>
  <c r="O471" i="1"/>
  <c r="P471" i="1" s="1"/>
  <c r="Q471" i="1" s="1"/>
  <c r="O479" i="1"/>
  <c r="P479" i="1" s="1"/>
  <c r="Q479" i="1" s="1"/>
  <c r="O487" i="1"/>
  <c r="P487" i="1" s="1"/>
  <c r="Q487" i="1" s="1"/>
  <c r="O495" i="1"/>
  <c r="O503" i="1"/>
  <c r="P503" i="1" s="1"/>
  <c r="Q503" i="1" s="1"/>
  <c r="O511" i="1"/>
  <c r="O519" i="1"/>
  <c r="P519" i="1" s="1"/>
  <c r="Q519" i="1" s="1"/>
  <c r="O527" i="1"/>
  <c r="P527" i="1" s="1"/>
  <c r="Q527" i="1" s="1"/>
  <c r="O535" i="1"/>
  <c r="P535" i="1" s="1"/>
  <c r="Q535" i="1" s="1"/>
  <c r="O543" i="1"/>
  <c r="P543" i="1" s="1"/>
  <c r="Q543" i="1" s="1"/>
  <c r="O642" i="1"/>
  <c r="P642" i="1" s="1"/>
  <c r="Q642" i="1" s="1"/>
  <c r="O644" i="1"/>
  <c r="P644" i="1" s="1"/>
  <c r="Q644" i="1" s="1"/>
  <c r="O552" i="1"/>
  <c r="P552" i="1" s="1"/>
  <c r="Q552" i="1" s="1"/>
  <c r="O560" i="1"/>
  <c r="O568" i="1"/>
  <c r="P568" i="1" s="1"/>
  <c r="Q568" i="1" s="1"/>
  <c r="O576" i="1"/>
  <c r="P576" i="1" s="1"/>
  <c r="Q576" i="1" s="1"/>
  <c r="O584" i="1"/>
  <c r="P584" i="1" s="1"/>
  <c r="Q584" i="1" s="1"/>
  <c r="O592" i="1"/>
  <c r="P592" i="1" s="1"/>
  <c r="Q592" i="1" s="1"/>
  <c r="O600" i="1"/>
  <c r="P600" i="1" s="1"/>
  <c r="Q600" i="1" s="1"/>
  <c r="O608" i="1"/>
  <c r="O616" i="1"/>
  <c r="P616" i="1" s="1"/>
  <c r="Q616" i="1" s="1"/>
  <c r="O624" i="1"/>
  <c r="O705" i="1"/>
  <c r="P705" i="1" s="1"/>
  <c r="Q705" i="1" s="1"/>
  <c r="O746" i="1"/>
  <c r="P746" i="1" s="1"/>
  <c r="Q746" i="1" s="1"/>
  <c r="O659" i="1"/>
  <c r="P659" i="1" s="1"/>
  <c r="Q659" i="1" s="1"/>
  <c r="O667" i="1"/>
  <c r="P667" i="1" s="1"/>
  <c r="Q667" i="1" s="1"/>
  <c r="O675" i="1"/>
  <c r="O683" i="1"/>
  <c r="P683" i="1" s="1"/>
  <c r="Q683" i="1" s="1"/>
  <c r="O691" i="1"/>
  <c r="P691" i="1" s="1"/>
  <c r="Q691" i="1" s="1"/>
  <c r="O699" i="1"/>
  <c r="O722" i="1"/>
  <c r="P722" i="1" s="1"/>
  <c r="Q722" i="1" s="1"/>
  <c r="O766" i="1"/>
  <c r="P766" i="1" s="1"/>
  <c r="Q766" i="1" s="1"/>
  <c r="O754" i="1"/>
  <c r="P754" i="1" s="1"/>
  <c r="Q754" i="1" s="1"/>
  <c r="O742" i="1"/>
  <c r="P742" i="1" s="1"/>
  <c r="Q742" i="1" s="1"/>
  <c r="O765" i="1"/>
  <c r="O756" i="1"/>
  <c r="O740" i="1"/>
  <c r="O771" i="1"/>
  <c r="O779" i="1"/>
  <c r="P779" i="1" s="1"/>
  <c r="Q779" i="1" s="1"/>
  <c r="O787" i="1"/>
  <c r="P787" i="1" s="1"/>
  <c r="Q787" i="1" s="1"/>
  <c r="O795" i="1"/>
  <c r="P795" i="1" s="1"/>
  <c r="Q795" i="1" s="1"/>
  <c r="O803" i="1"/>
  <c r="P803" i="1" s="1"/>
  <c r="Q803" i="1" s="1"/>
  <c r="O811" i="1"/>
  <c r="P811" i="1" s="1"/>
  <c r="Q811" i="1" s="1"/>
  <c r="O819" i="1"/>
  <c r="O872" i="1"/>
  <c r="O943" i="1"/>
  <c r="O993" i="1"/>
  <c r="P993" i="1" s="1"/>
  <c r="Q993" i="1" s="1"/>
  <c r="O871" i="1"/>
  <c r="P871" i="1" s="1"/>
  <c r="Q871" i="1" s="1"/>
  <c r="O997" i="1"/>
  <c r="P997" i="1" s="1"/>
  <c r="Q997" i="1" s="1"/>
  <c r="O927" i="1"/>
  <c r="P927" i="1" s="1"/>
  <c r="Q927" i="1" s="1"/>
  <c r="O1001" i="1"/>
  <c r="P1001" i="1" s="1"/>
  <c r="Q1001" i="1" s="1"/>
  <c r="O831" i="1"/>
  <c r="P831" i="1" s="1"/>
  <c r="Q831" i="1" s="1"/>
  <c r="O839" i="1"/>
  <c r="P839" i="1" s="1"/>
  <c r="Q839" i="1" s="1"/>
  <c r="O847" i="1"/>
  <c r="O855" i="1"/>
  <c r="P855" i="1" s="1"/>
  <c r="Q855" i="1" s="1"/>
  <c r="O863" i="1"/>
  <c r="P863" i="1" s="1"/>
  <c r="Q863" i="1" s="1"/>
  <c r="O886" i="1"/>
  <c r="P886" i="1" s="1"/>
  <c r="Q886" i="1" s="1"/>
  <c r="O947" i="1"/>
  <c r="P947" i="1" s="1"/>
  <c r="Q947" i="1" s="1"/>
  <c r="O974" i="1"/>
  <c r="O910" i="1"/>
  <c r="P910" i="1" s="1"/>
  <c r="Q910" i="1" s="1"/>
  <c r="O918" i="1"/>
  <c r="P918" i="1" s="1"/>
  <c r="Q918" i="1" s="1"/>
  <c r="O967" i="1"/>
  <c r="P967" i="1" s="1"/>
  <c r="Q967" i="1" s="1"/>
  <c r="O999" i="1"/>
  <c r="O944" i="1"/>
  <c r="P944" i="1" s="1"/>
  <c r="Q944" i="1" s="1"/>
  <c r="O964" i="1"/>
  <c r="O996" i="1"/>
  <c r="P996" i="1" s="1"/>
  <c r="Q996" i="1" s="1"/>
  <c r="O90" i="1"/>
  <c r="P90" i="1" s="1"/>
  <c r="Q90" i="1" s="1"/>
  <c r="O20" i="1"/>
  <c r="P20" i="1" s="1"/>
  <c r="Q20" i="1" s="1"/>
  <c r="O968" i="1"/>
  <c r="P968" i="1" s="1"/>
  <c r="Q968" i="1" s="1"/>
  <c r="O1000" i="1"/>
  <c r="P1000" i="1" s="1"/>
  <c r="Q1000" i="1" s="1"/>
  <c r="O24" i="1"/>
  <c r="P24" i="1" s="1"/>
  <c r="Q24" i="1" s="1"/>
  <c r="O18" i="1"/>
  <c r="P18" i="1" s="1"/>
  <c r="Q18" i="1" s="1"/>
  <c r="O975" i="1"/>
  <c r="O923" i="1"/>
  <c r="P923" i="1" s="1"/>
  <c r="Q923" i="1" s="1"/>
  <c r="O948" i="1"/>
  <c r="P948" i="1" s="1"/>
  <c r="Q948" i="1" s="1"/>
  <c r="O972" i="1"/>
  <c r="O1004" i="1"/>
  <c r="P1004" i="1" s="1"/>
  <c r="Q1004" i="1" s="1"/>
  <c r="O22" i="1"/>
  <c r="O19" i="1"/>
  <c r="P19" i="1" s="1"/>
  <c r="Q19" i="1" s="1"/>
  <c r="O121" i="1"/>
  <c r="P121" i="1" s="1"/>
  <c r="Q121" i="1" s="1"/>
  <c r="P25" i="1"/>
  <c r="Q25" i="1" s="1"/>
  <c r="P88" i="1"/>
  <c r="Q88" i="1" s="1"/>
  <c r="P86" i="1"/>
  <c r="Q86" i="1" s="1"/>
  <c r="P14" i="1"/>
  <c r="Q14" i="1" s="1"/>
  <c r="P128" i="1"/>
  <c r="Q128" i="1" s="1"/>
  <c r="P168" i="1"/>
  <c r="Q168" i="1" s="1"/>
  <c r="P176" i="1"/>
  <c r="Q176" i="1" s="1"/>
  <c r="P192" i="1"/>
  <c r="Q192" i="1" s="1"/>
  <c r="P309" i="1"/>
  <c r="Q309" i="1" s="1"/>
  <c r="P361" i="1"/>
  <c r="Q361" i="1" s="1"/>
  <c r="P358" i="1"/>
  <c r="Q358" i="1" s="1"/>
  <c r="P336" i="1"/>
  <c r="Q336" i="1" s="1"/>
  <c r="P212" i="1"/>
  <c r="Q212" i="1" s="1"/>
  <c r="P228" i="1"/>
  <c r="Q228" i="1" s="1"/>
  <c r="P236" i="1"/>
  <c r="Q236" i="1" s="1"/>
  <c r="P244" i="1"/>
  <c r="Q244" i="1" s="1"/>
  <c r="P260" i="1"/>
  <c r="Q260" i="1" s="1"/>
  <c r="P276" i="1"/>
  <c r="Q276" i="1" s="1"/>
  <c r="P292" i="1"/>
  <c r="Q292" i="1" s="1"/>
  <c r="P723" i="1"/>
  <c r="Q723" i="1" s="1"/>
  <c r="P511" i="1"/>
  <c r="Q511" i="1" s="1"/>
  <c r="P560" i="1"/>
  <c r="Q560" i="1" s="1"/>
  <c r="P608" i="1"/>
  <c r="Q608" i="1" s="1"/>
  <c r="P624" i="1"/>
  <c r="Q624" i="1" s="1"/>
  <c r="P675" i="1"/>
  <c r="Q675" i="1" s="1"/>
  <c r="P699" i="1"/>
  <c r="Q699" i="1" s="1"/>
  <c r="P771" i="1"/>
  <c r="Q771" i="1" s="1"/>
  <c r="P819" i="1"/>
  <c r="Q819" i="1" s="1"/>
  <c r="P872" i="1"/>
  <c r="Q872" i="1" s="1"/>
  <c r="P943" i="1"/>
  <c r="Q943" i="1" s="1"/>
  <c r="P974" i="1"/>
  <c r="Q974" i="1" s="1"/>
  <c r="P31" i="1"/>
  <c r="Q31" i="1" s="1"/>
  <c r="P63" i="1"/>
  <c r="Q63" i="1" s="1"/>
  <c r="P252" i="1"/>
  <c r="Q252" i="1" s="1"/>
  <c r="P6" i="1"/>
  <c r="Q6" i="1" s="1"/>
  <c r="P21" i="1"/>
  <c r="Q21" i="1" s="1"/>
  <c r="P145" i="1"/>
  <c r="Q145" i="1" s="1"/>
  <c r="P93" i="1"/>
  <c r="Q93" i="1" s="1"/>
  <c r="P32" i="1"/>
  <c r="Q32" i="1" s="1"/>
  <c r="P40" i="1"/>
  <c r="Q40" i="1" s="1"/>
  <c r="P48" i="1"/>
  <c r="Q48" i="1" s="1"/>
  <c r="P56" i="1"/>
  <c r="Q56" i="1" s="1"/>
  <c r="P72" i="1"/>
  <c r="Q72" i="1" s="1"/>
  <c r="P119" i="1"/>
  <c r="Q119" i="1" s="1"/>
  <c r="P89" i="1"/>
  <c r="Q89" i="1" s="1"/>
  <c r="P94" i="1"/>
  <c r="Q94" i="1" s="1"/>
  <c r="P113" i="1"/>
  <c r="Q113" i="1" s="1"/>
  <c r="P327" i="1"/>
  <c r="Q327" i="1" s="1"/>
  <c r="P136" i="1"/>
  <c r="Q136" i="1" s="1"/>
  <c r="P169" i="1"/>
  <c r="Q169" i="1" s="1"/>
  <c r="P177" i="1"/>
  <c r="Q177" i="1" s="1"/>
  <c r="P185" i="1"/>
  <c r="Q185" i="1" s="1"/>
  <c r="P193" i="1"/>
  <c r="Q193" i="1" s="1"/>
  <c r="P201" i="1"/>
  <c r="Q201" i="1" s="1"/>
  <c r="P317" i="1"/>
  <c r="Q317" i="1" s="1"/>
  <c r="P410" i="1"/>
  <c r="Q410" i="1" s="1"/>
  <c r="P340" i="1"/>
  <c r="Q340" i="1" s="1"/>
  <c r="P205" i="1"/>
  <c r="Q205" i="1" s="1"/>
  <c r="P213" i="1"/>
  <c r="Q213" i="1" s="1"/>
  <c r="P221" i="1"/>
  <c r="Q221" i="1" s="1"/>
  <c r="P237" i="1"/>
  <c r="Q237" i="1" s="1"/>
  <c r="P253" i="1"/>
  <c r="Q253" i="1" s="1"/>
  <c r="P261" i="1"/>
  <c r="Q261" i="1" s="1"/>
  <c r="P269" i="1"/>
  <c r="Q269" i="1" s="1"/>
  <c r="P277" i="1"/>
  <c r="Q277" i="1" s="1"/>
  <c r="P285" i="1"/>
  <c r="Q285" i="1" s="1"/>
  <c r="P322" i="1"/>
  <c r="Q322" i="1" s="1"/>
  <c r="P403" i="1"/>
  <c r="Q403" i="1" s="1"/>
  <c r="P362" i="1"/>
  <c r="Q362" i="1" s="1"/>
  <c r="P437" i="1"/>
  <c r="Q437" i="1" s="1"/>
  <c r="P369" i="1"/>
  <c r="Q369" i="1" s="1"/>
  <c r="P377" i="1"/>
  <c r="Q377" i="1" s="1"/>
  <c r="P393" i="1"/>
  <c r="Q393" i="1" s="1"/>
  <c r="P431" i="1"/>
  <c r="Q431" i="1" s="1"/>
  <c r="P444" i="1"/>
  <c r="Q444" i="1" s="1"/>
  <c r="P422" i="1"/>
  <c r="Q422" i="1" s="1"/>
  <c r="P544" i="1"/>
  <c r="Q544" i="1" s="1"/>
  <c r="P456" i="1"/>
  <c r="Q456" i="1" s="1"/>
  <c r="P472" i="1"/>
  <c r="Q472" i="1" s="1"/>
  <c r="P488" i="1"/>
  <c r="Q488" i="1" s="1"/>
  <c r="P496" i="1"/>
  <c r="Q496" i="1" s="1"/>
  <c r="P504" i="1"/>
  <c r="Q504" i="1" s="1"/>
  <c r="P512" i="1"/>
  <c r="Q512" i="1" s="1"/>
  <c r="P520" i="1"/>
  <c r="Q520" i="1" s="1"/>
  <c r="P528" i="1"/>
  <c r="Q528" i="1" s="1"/>
  <c r="P536" i="1"/>
  <c r="Q536" i="1" s="1"/>
  <c r="P548" i="1"/>
  <c r="Q548" i="1" s="1"/>
  <c r="P625" i="1"/>
  <c r="Q625" i="1" s="1"/>
  <c r="P561" i="1"/>
  <c r="Q561" i="1" s="1"/>
  <c r="P569" i="1"/>
  <c r="Q569" i="1" s="1"/>
  <c r="P577" i="1"/>
  <c r="Q577" i="1" s="1"/>
  <c r="P585" i="1"/>
  <c r="Q585" i="1" s="1"/>
  <c r="P593" i="1"/>
  <c r="Q593" i="1" s="1"/>
  <c r="P609" i="1"/>
  <c r="Q609" i="1" s="1"/>
  <c r="P632" i="1"/>
  <c r="Q632" i="1" s="1"/>
  <c r="P709" i="1"/>
  <c r="Q709" i="1" s="1"/>
  <c r="P660" i="1"/>
  <c r="Q660" i="1" s="1"/>
  <c r="P668" i="1"/>
  <c r="Q668" i="1" s="1"/>
  <c r="P684" i="1"/>
  <c r="Q684" i="1" s="1"/>
  <c r="P700" i="1"/>
  <c r="Q700" i="1" s="1"/>
  <c r="P730" i="1"/>
  <c r="Q730" i="1" s="1"/>
  <c r="P707" i="1"/>
  <c r="Q707" i="1" s="1"/>
  <c r="P762" i="1"/>
  <c r="Q762" i="1" s="1"/>
  <c r="P758" i="1"/>
  <c r="Q758" i="1" s="1"/>
  <c r="P760" i="1"/>
  <c r="Q760" i="1" s="1"/>
  <c r="P772" i="1"/>
  <c r="Q772" i="1" s="1"/>
  <c r="P780" i="1"/>
  <c r="Q780" i="1" s="1"/>
  <c r="P788" i="1"/>
  <c r="Q788" i="1" s="1"/>
  <c r="P796" i="1"/>
  <c r="Q796" i="1" s="1"/>
  <c r="P804" i="1"/>
  <c r="Q804" i="1" s="1"/>
  <c r="P820" i="1"/>
  <c r="Q820" i="1" s="1"/>
  <c r="P877" i="1"/>
  <c r="Q877" i="1" s="1"/>
  <c r="P874" i="1"/>
  <c r="Q874" i="1" s="1"/>
  <c r="P879" i="1"/>
  <c r="Q879" i="1" s="1"/>
  <c r="P876" i="1"/>
  <c r="Q876" i="1" s="1"/>
  <c r="P870" i="1"/>
  <c r="Q870" i="1" s="1"/>
  <c r="P832" i="1"/>
  <c r="Q832" i="1" s="1"/>
  <c r="P848" i="1"/>
  <c r="Q848" i="1" s="1"/>
  <c r="P856" i="1"/>
  <c r="Q856" i="1" s="1"/>
  <c r="P864" i="1"/>
  <c r="Q864" i="1" s="1"/>
  <c r="P894" i="1"/>
  <c r="Q894" i="1" s="1"/>
  <c r="P949" i="1"/>
  <c r="Q949" i="1" s="1"/>
  <c r="P911" i="1"/>
  <c r="Q911" i="1" s="1"/>
  <c r="P971" i="1"/>
  <c r="Q971" i="1" s="1"/>
  <c r="P1003" i="1"/>
  <c r="Q1003" i="1" s="1"/>
  <c r="P946" i="1"/>
  <c r="Q946" i="1" s="1"/>
  <c r="P351" i="1"/>
  <c r="Q351" i="1" s="1"/>
  <c r="P756" i="1"/>
  <c r="Q756" i="1" s="1"/>
  <c r="P137" i="1"/>
  <c r="Q137" i="1" s="1"/>
  <c r="P108" i="1"/>
  <c r="Q108" i="1" s="1"/>
  <c r="P123" i="1"/>
  <c r="Q123" i="1" s="1"/>
  <c r="P33" i="1"/>
  <c r="Q33" i="1" s="1"/>
  <c r="P41" i="1"/>
  <c r="Q41" i="1" s="1"/>
  <c r="P49" i="1"/>
  <c r="Q49" i="1" s="1"/>
  <c r="P57" i="1"/>
  <c r="Q57" i="1" s="1"/>
  <c r="P65" i="1"/>
  <c r="Q65" i="1" s="1"/>
  <c r="P140" i="1"/>
  <c r="Q140" i="1" s="1"/>
  <c r="P97" i="1"/>
  <c r="Q97" i="1" s="1"/>
  <c r="P99" i="1"/>
  <c r="Q99" i="1" s="1"/>
  <c r="P115" i="1"/>
  <c r="Q115" i="1" s="1"/>
  <c r="P8" i="1"/>
  <c r="Q8" i="1" s="1"/>
  <c r="P144" i="1"/>
  <c r="Q144" i="1" s="1"/>
  <c r="P170" i="1"/>
  <c r="Q170" i="1" s="1"/>
  <c r="P186" i="1"/>
  <c r="Q186" i="1" s="1"/>
  <c r="P194" i="1"/>
  <c r="Q194" i="1" s="1"/>
  <c r="P202" i="1"/>
  <c r="Q202" i="1" s="1"/>
  <c r="P303" i="1"/>
  <c r="Q303" i="1" s="1"/>
  <c r="P325" i="1"/>
  <c r="Q325" i="1" s="1"/>
  <c r="P432" i="1"/>
  <c r="Q432" i="1" s="1"/>
  <c r="P206" i="1"/>
  <c r="Q206" i="1" s="1"/>
  <c r="P214" i="1"/>
  <c r="Q214" i="1" s="1"/>
  <c r="P222" i="1"/>
  <c r="Q222" i="1" s="1"/>
  <c r="P230" i="1"/>
  <c r="Q230" i="1" s="1"/>
  <c r="P238" i="1"/>
  <c r="Q238" i="1" s="1"/>
  <c r="P246" i="1"/>
  <c r="Q246" i="1" s="1"/>
  <c r="P262" i="1"/>
  <c r="Q262" i="1" s="1"/>
  <c r="P278" i="1"/>
  <c r="Q278" i="1" s="1"/>
  <c r="P286" i="1"/>
  <c r="Q286" i="1" s="1"/>
  <c r="P294" i="1"/>
  <c r="Q294" i="1" s="1"/>
  <c r="P330" i="1"/>
  <c r="Q330" i="1" s="1"/>
  <c r="P321" i="1"/>
  <c r="Q321" i="1" s="1"/>
  <c r="P448" i="1"/>
  <c r="Q448" i="1" s="1"/>
  <c r="P370" i="1"/>
  <c r="Q370" i="1" s="1"/>
  <c r="P378" i="1"/>
  <c r="Q378" i="1" s="1"/>
  <c r="P386" i="1"/>
  <c r="Q386" i="1" s="1"/>
  <c r="P394" i="1"/>
  <c r="Q394" i="1" s="1"/>
  <c r="P416" i="1"/>
  <c r="Q416" i="1" s="1"/>
  <c r="P405" i="1"/>
  <c r="Q405" i="1" s="1"/>
  <c r="P449" i="1"/>
  <c r="Q449" i="1" s="1"/>
  <c r="P457" i="1"/>
  <c r="Q457" i="1" s="1"/>
  <c r="P465" i="1"/>
  <c r="Q465" i="1" s="1"/>
  <c r="P473" i="1"/>
  <c r="Q473" i="1" s="1"/>
  <c r="P481" i="1"/>
  <c r="Q481" i="1" s="1"/>
  <c r="P497" i="1"/>
  <c r="Q497" i="1" s="1"/>
  <c r="P513" i="1"/>
  <c r="Q513" i="1" s="1"/>
  <c r="P521" i="1"/>
  <c r="Q521" i="1" s="1"/>
  <c r="P537" i="1"/>
  <c r="Q537" i="1" s="1"/>
  <c r="P648" i="1"/>
  <c r="Q648" i="1" s="1"/>
  <c r="P633" i="1"/>
  <c r="Q633" i="1" s="1"/>
  <c r="P562" i="1"/>
  <c r="Q562" i="1" s="1"/>
  <c r="P570" i="1"/>
  <c r="Q570" i="1" s="1"/>
  <c r="P578" i="1"/>
  <c r="Q578" i="1" s="1"/>
  <c r="P586" i="1"/>
  <c r="Q586" i="1" s="1"/>
  <c r="P594" i="1"/>
  <c r="Q594" i="1" s="1"/>
  <c r="P610" i="1"/>
  <c r="Q610" i="1" s="1"/>
  <c r="P640" i="1"/>
  <c r="Q640" i="1" s="1"/>
  <c r="P712" i="1"/>
  <c r="Q712" i="1" s="1"/>
  <c r="P653" i="1"/>
  <c r="Q653" i="1" s="1"/>
  <c r="P661" i="1"/>
  <c r="Q661" i="1" s="1"/>
  <c r="P669" i="1"/>
  <c r="Q669" i="1" s="1"/>
  <c r="P685" i="1"/>
  <c r="Q685" i="1" s="1"/>
  <c r="P701" i="1"/>
  <c r="Q701" i="1" s="1"/>
  <c r="P711" i="1"/>
  <c r="Q711" i="1" s="1"/>
  <c r="P706" i="1"/>
  <c r="Q706" i="1" s="1"/>
  <c r="P899" i="1"/>
  <c r="Q899" i="1" s="1"/>
  <c r="P764" i="1"/>
  <c r="Q764" i="1" s="1"/>
  <c r="P773" i="1"/>
  <c r="Q773" i="1" s="1"/>
  <c r="P781" i="1"/>
  <c r="Q781" i="1" s="1"/>
  <c r="P797" i="1"/>
  <c r="Q797" i="1" s="1"/>
  <c r="P805" i="1"/>
  <c r="Q805" i="1" s="1"/>
  <c r="P821" i="1"/>
  <c r="Q821" i="1" s="1"/>
  <c r="P885" i="1"/>
  <c r="Q885" i="1" s="1"/>
  <c r="P882" i="1"/>
  <c r="Q882" i="1" s="1"/>
  <c r="P887" i="1"/>
  <c r="Q887" i="1" s="1"/>
  <c r="P884" i="1"/>
  <c r="Q884" i="1" s="1"/>
  <c r="P873" i="1"/>
  <c r="Q873" i="1" s="1"/>
  <c r="P833" i="1"/>
  <c r="Q833" i="1" s="1"/>
  <c r="P849" i="1"/>
  <c r="Q849" i="1" s="1"/>
  <c r="P857" i="1"/>
  <c r="Q857" i="1" s="1"/>
  <c r="P865" i="1"/>
  <c r="Q865" i="1" s="1"/>
  <c r="P902" i="1"/>
  <c r="Q902" i="1" s="1"/>
  <c r="P951" i="1"/>
  <c r="Q951" i="1" s="1"/>
  <c r="P912" i="1"/>
  <c r="Q912" i="1" s="1"/>
  <c r="P975" i="1"/>
  <c r="Q975" i="1" s="1"/>
  <c r="P972" i="1"/>
  <c r="Q972" i="1" s="1"/>
  <c r="P22" i="1"/>
  <c r="Q22" i="1" s="1"/>
  <c r="P71" i="1"/>
  <c r="Q71" i="1" s="1"/>
  <c r="P111" i="1"/>
  <c r="Q111" i="1" s="1"/>
  <c r="P314" i="1"/>
  <c r="Q314" i="1" s="1"/>
  <c r="P376" i="1"/>
  <c r="Q376" i="1" s="1"/>
  <c r="P495" i="1"/>
  <c r="Q495" i="1" s="1"/>
  <c r="P116" i="1"/>
  <c r="Q116" i="1" s="1"/>
  <c r="P5" i="1"/>
  <c r="P131" i="1"/>
  <c r="Q131" i="1" s="1"/>
  <c r="P34" i="1"/>
  <c r="Q34" i="1" s="1"/>
  <c r="P42" i="1"/>
  <c r="Q42" i="1" s="1"/>
  <c r="P50" i="1"/>
  <c r="Q50" i="1" s="1"/>
  <c r="P58" i="1"/>
  <c r="Q58" i="1" s="1"/>
  <c r="P66" i="1"/>
  <c r="Q66" i="1" s="1"/>
  <c r="P148" i="1"/>
  <c r="Q148" i="1" s="1"/>
  <c r="P122" i="1"/>
  <c r="Q122" i="1" s="1"/>
  <c r="P101" i="1"/>
  <c r="Q101" i="1" s="1"/>
  <c r="P117" i="1"/>
  <c r="Q117" i="1" s="1"/>
  <c r="P9" i="1"/>
  <c r="Q9" i="1" s="1"/>
  <c r="P17" i="1"/>
  <c r="Q17" i="1" s="1"/>
  <c r="P152" i="1"/>
  <c r="Q152" i="1" s="1"/>
  <c r="P171" i="1"/>
  <c r="Q171" i="1" s="1"/>
  <c r="P187" i="1"/>
  <c r="Q187" i="1" s="1"/>
  <c r="P195" i="1"/>
  <c r="Q195" i="1" s="1"/>
  <c r="P203" i="1"/>
  <c r="Q203" i="1" s="1"/>
  <c r="P359" i="1"/>
  <c r="Q359" i="1" s="1"/>
  <c r="P333" i="1"/>
  <c r="Q333" i="1" s="1"/>
  <c r="P299" i="1"/>
  <c r="Q299" i="1" s="1"/>
  <c r="P207" i="1"/>
  <c r="Q207" i="1" s="1"/>
  <c r="P215" i="1"/>
  <c r="Q215" i="1" s="1"/>
  <c r="P223" i="1"/>
  <c r="Q223" i="1" s="1"/>
  <c r="P231" i="1"/>
  <c r="Q231" i="1" s="1"/>
  <c r="P239" i="1"/>
  <c r="Q239" i="1" s="1"/>
  <c r="P255" i="1"/>
  <c r="Q255" i="1" s="1"/>
  <c r="P263" i="1"/>
  <c r="Q263" i="1" s="1"/>
  <c r="P271" i="1"/>
  <c r="Q271" i="1" s="1"/>
  <c r="P279" i="1"/>
  <c r="Q279" i="1" s="1"/>
  <c r="P287" i="1"/>
  <c r="Q287" i="1" s="1"/>
  <c r="P295" i="1"/>
  <c r="Q295" i="1" s="1"/>
  <c r="P329" i="1"/>
  <c r="Q329" i="1" s="1"/>
  <c r="P630" i="1"/>
  <c r="Q630" i="1" s="1"/>
  <c r="P638" i="1"/>
  <c r="Q638" i="1" s="1"/>
  <c r="P371" i="1"/>
  <c r="Q371" i="1" s="1"/>
  <c r="P379" i="1"/>
  <c r="Q379" i="1" s="1"/>
  <c r="P387" i="1"/>
  <c r="Q387" i="1" s="1"/>
  <c r="P426" i="1"/>
  <c r="Q426" i="1" s="1"/>
  <c r="P413" i="1"/>
  <c r="Q413" i="1" s="1"/>
  <c r="P438" i="1"/>
  <c r="Q438" i="1" s="1"/>
  <c r="P458" i="1"/>
  <c r="Q458" i="1" s="1"/>
  <c r="P466" i="1"/>
  <c r="Q466" i="1" s="1"/>
  <c r="P482" i="1"/>
  <c r="Q482" i="1" s="1"/>
  <c r="P498" i="1"/>
  <c r="Q498" i="1" s="1"/>
  <c r="P506" i="1"/>
  <c r="Q506" i="1" s="1"/>
  <c r="P522" i="1"/>
  <c r="Q522" i="1" s="1"/>
  <c r="P530" i="1"/>
  <c r="Q530" i="1" s="1"/>
  <c r="P629" i="1"/>
  <c r="Q629" i="1" s="1"/>
  <c r="P641" i="1"/>
  <c r="Q641" i="1" s="1"/>
  <c r="P555" i="1"/>
  <c r="Q555" i="1" s="1"/>
  <c r="P563" i="1"/>
  <c r="Q563" i="1" s="1"/>
  <c r="P571" i="1"/>
  <c r="Q571" i="1" s="1"/>
  <c r="P579" i="1"/>
  <c r="Q579" i="1" s="1"/>
  <c r="P595" i="1"/>
  <c r="Q595" i="1" s="1"/>
  <c r="P611" i="1"/>
  <c r="Q611" i="1" s="1"/>
  <c r="P619" i="1"/>
  <c r="Q619" i="1" s="1"/>
  <c r="P646" i="1"/>
  <c r="Q646" i="1" s="1"/>
  <c r="P720" i="1"/>
  <c r="Q720" i="1" s="1"/>
  <c r="P654" i="1"/>
  <c r="Q654" i="1" s="1"/>
  <c r="P670" i="1"/>
  <c r="Q670" i="1" s="1"/>
  <c r="P686" i="1"/>
  <c r="Q686" i="1" s="1"/>
  <c r="P694" i="1"/>
  <c r="Q694" i="1" s="1"/>
  <c r="P702" i="1"/>
  <c r="Q702" i="1" s="1"/>
  <c r="P719" i="1"/>
  <c r="Q719" i="1" s="1"/>
  <c r="P724" i="1"/>
  <c r="Q724" i="1" s="1"/>
  <c r="P737" i="1"/>
  <c r="Q737" i="1" s="1"/>
  <c r="P741" i="1"/>
  <c r="Q741" i="1" s="1"/>
  <c r="P883" i="1"/>
  <c r="Q883" i="1" s="1"/>
  <c r="P774" i="1"/>
  <c r="Q774" i="1" s="1"/>
  <c r="P782" i="1"/>
  <c r="Q782" i="1" s="1"/>
  <c r="P790" i="1"/>
  <c r="Q790" i="1" s="1"/>
  <c r="P806" i="1"/>
  <c r="Q806" i="1" s="1"/>
  <c r="P822" i="1"/>
  <c r="Q822" i="1" s="1"/>
  <c r="P896" i="1"/>
  <c r="Q896" i="1" s="1"/>
  <c r="P893" i="1"/>
  <c r="Q893" i="1" s="1"/>
  <c r="P890" i="1"/>
  <c r="Q890" i="1" s="1"/>
  <c r="P895" i="1"/>
  <c r="Q895" i="1" s="1"/>
  <c r="P881" i="1"/>
  <c r="Q881" i="1" s="1"/>
  <c r="P834" i="1"/>
  <c r="Q834" i="1" s="1"/>
  <c r="P842" i="1"/>
  <c r="Q842" i="1" s="1"/>
  <c r="P850" i="1"/>
  <c r="Q850" i="1" s="1"/>
  <c r="P858" i="1"/>
  <c r="Q858" i="1" s="1"/>
  <c r="P866" i="1"/>
  <c r="Q866" i="1" s="1"/>
  <c r="P953" i="1"/>
  <c r="Q953" i="1" s="1"/>
  <c r="P913" i="1"/>
  <c r="Q913" i="1" s="1"/>
  <c r="P929" i="1"/>
  <c r="Q929" i="1" s="1"/>
  <c r="P979" i="1"/>
  <c r="Q979" i="1" s="1"/>
  <c r="P931" i="1"/>
  <c r="Q931" i="1" s="1"/>
  <c r="P925" i="1"/>
  <c r="Q925" i="1" s="1"/>
  <c r="P84" i="1"/>
  <c r="Q84" i="1" s="1"/>
  <c r="P765" i="1"/>
  <c r="Q765" i="1" s="1"/>
  <c r="P100" i="1"/>
  <c r="Q100" i="1" s="1"/>
  <c r="P114" i="1"/>
  <c r="Q114" i="1" s="1"/>
  <c r="P153" i="1"/>
  <c r="Q153" i="1" s="1"/>
  <c r="P29" i="1"/>
  <c r="Q29" i="1" s="1"/>
  <c r="P139" i="1"/>
  <c r="Q139" i="1" s="1"/>
  <c r="P35" i="1"/>
  <c r="Q35" i="1" s="1"/>
  <c r="P43" i="1"/>
  <c r="Q43" i="1" s="1"/>
  <c r="P51" i="1"/>
  <c r="Q51" i="1" s="1"/>
  <c r="P59" i="1"/>
  <c r="Q59" i="1" s="1"/>
  <c r="P67" i="1"/>
  <c r="Q67" i="1" s="1"/>
  <c r="P75" i="1"/>
  <c r="Q75" i="1" s="1"/>
  <c r="P156" i="1"/>
  <c r="Q156" i="1" s="1"/>
  <c r="P130" i="1"/>
  <c r="Q130" i="1" s="1"/>
  <c r="P103" i="1"/>
  <c r="Q103" i="1" s="1"/>
  <c r="P125" i="1"/>
  <c r="Q125" i="1" s="1"/>
  <c r="P79" i="1"/>
  <c r="Q79" i="1" s="1"/>
  <c r="P348" i="1"/>
  <c r="Q348" i="1" s="1"/>
  <c r="P164" i="1"/>
  <c r="Q164" i="1" s="1"/>
  <c r="P172" i="1"/>
  <c r="Q172" i="1" s="1"/>
  <c r="P180" i="1"/>
  <c r="Q180" i="1" s="1"/>
  <c r="P188" i="1"/>
  <c r="Q188" i="1" s="1"/>
  <c r="P310" i="1"/>
  <c r="Q310" i="1" s="1"/>
  <c r="P443" i="1"/>
  <c r="Q443" i="1" s="1"/>
  <c r="P337" i="1"/>
  <c r="Q337" i="1" s="1"/>
  <c r="P316" i="1"/>
  <c r="Q316" i="1" s="1"/>
  <c r="P307" i="1"/>
  <c r="Q307" i="1" s="1"/>
  <c r="P355" i="1"/>
  <c r="Q355" i="1" s="1"/>
  <c r="P208" i="1"/>
  <c r="Q208" i="1" s="1"/>
  <c r="P216" i="1"/>
  <c r="Q216" i="1" s="1"/>
  <c r="P224" i="1"/>
  <c r="Q224" i="1" s="1"/>
  <c r="P232" i="1"/>
  <c r="Q232" i="1" s="1"/>
  <c r="P240" i="1"/>
  <c r="Q240" i="1" s="1"/>
  <c r="P256" i="1"/>
  <c r="Q256" i="1" s="1"/>
  <c r="P264" i="1"/>
  <c r="Q264" i="1" s="1"/>
  <c r="P280" i="1"/>
  <c r="Q280" i="1" s="1"/>
  <c r="P360" i="1"/>
  <c r="Q360" i="1" s="1"/>
  <c r="P335" i="1"/>
  <c r="Q335" i="1" s="1"/>
  <c r="P312" i="1"/>
  <c r="Q312" i="1" s="1"/>
  <c r="P401" i="1"/>
  <c r="Q401" i="1" s="1"/>
  <c r="P364" i="1"/>
  <c r="Q364" i="1" s="1"/>
  <c r="P372" i="1"/>
  <c r="Q372" i="1" s="1"/>
  <c r="P380" i="1"/>
  <c r="Q380" i="1" s="1"/>
  <c r="P396" i="1"/>
  <c r="Q396" i="1" s="1"/>
  <c r="P406" i="1"/>
  <c r="Q406" i="1" s="1"/>
  <c r="P425" i="1"/>
  <c r="Q425" i="1" s="1"/>
  <c r="P446" i="1"/>
  <c r="Q446" i="1" s="1"/>
  <c r="P451" i="1"/>
  <c r="Q451" i="1" s="1"/>
  <c r="P475" i="1"/>
  <c r="Q475" i="1" s="1"/>
  <c r="P483" i="1"/>
  <c r="Q483" i="1" s="1"/>
  <c r="P491" i="1"/>
  <c r="Q491" i="1" s="1"/>
  <c r="P499" i="1"/>
  <c r="Q499" i="1" s="1"/>
  <c r="P507" i="1"/>
  <c r="Q507" i="1" s="1"/>
  <c r="P523" i="1"/>
  <c r="Q523" i="1" s="1"/>
  <c r="P539" i="1"/>
  <c r="Q539" i="1" s="1"/>
  <c r="P637" i="1"/>
  <c r="Q637" i="1" s="1"/>
  <c r="P649" i="1"/>
  <c r="Q649" i="1" s="1"/>
  <c r="P556" i="1"/>
  <c r="Q556" i="1" s="1"/>
  <c r="P572" i="1"/>
  <c r="Q572" i="1" s="1"/>
  <c r="P588" i="1"/>
  <c r="Q588" i="1" s="1"/>
  <c r="P596" i="1"/>
  <c r="Q596" i="1" s="1"/>
  <c r="P612" i="1"/>
  <c r="Q612" i="1" s="1"/>
  <c r="P728" i="1"/>
  <c r="Q728" i="1" s="1"/>
  <c r="P663" i="1"/>
  <c r="Q663" i="1" s="1"/>
  <c r="P671" i="1"/>
  <c r="Q671" i="1" s="1"/>
  <c r="P679" i="1"/>
  <c r="Q679" i="1" s="1"/>
  <c r="P687" i="1"/>
  <c r="Q687" i="1" s="1"/>
  <c r="P695" i="1"/>
  <c r="Q695" i="1" s="1"/>
  <c r="P727" i="1"/>
  <c r="Q727" i="1" s="1"/>
  <c r="P718" i="1"/>
  <c r="Q718" i="1" s="1"/>
  <c r="P745" i="1"/>
  <c r="Q745" i="1" s="1"/>
  <c r="P875" i="1"/>
  <c r="Q875" i="1" s="1"/>
  <c r="P749" i="1"/>
  <c r="Q749" i="1" s="1"/>
  <c r="P767" i="1"/>
  <c r="Q767" i="1" s="1"/>
  <c r="P783" i="1"/>
  <c r="Q783" i="1" s="1"/>
  <c r="P799" i="1"/>
  <c r="Q799" i="1" s="1"/>
  <c r="P807" i="1"/>
  <c r="Q807" i="1" s="1"/>
  <c r="P959" i="1"/>
  <c r="Q959" i="1" s="1"/>
  <c r="P904" i="1"/>
  <c r="Q904" i="1" s="1"/>
  <c r="P898" i="1"/>
  <c r="Q898" i="1" s="1"/>
  <c r="P900" i="1"/>
  <c r="Q900" i="1" s="1"/>
  <c r="P889" i="1"/>
  <c r="Q889" i="1" s="1"/>
  <c r="P835" i="1"/>
  <c r="Q835" i="1" s="1"/>
  <c r="P859" i="1"/>
  <c r="Q859" i="1" s="1"/>
  <c r="P924" i="1"/>
  <c r="Q924" i="1" s="1"/>
  <c r="P955" i="1"/>
  <c r="Q955" i="1" s="1"/>
  <c r="P914" i="1"/>
  <c r="Q914" i="1" s="1"/>
  <c r="P937" i="1"/>
  <c r="Q937" i="1" s="1"/>
  <c r="P939" i="1"/>
  <c r="Q939" i="1" s="1"/>
  <c r="P980" i="1"/>
  <c r="Q980" i="1" s="1"/>
  <c r="P933" i="1"/>
  <c r="Q933" i="1" s="1"/>
  <c r="P47" i="1"/>
  <c r="Q47" i="1" s="1"/>
  <c r="P92" i="1"/>
  <c r="Q92" i="1" s="1"/>
  <c r="P964" i="1"/>
  <c r="Q964" i="1" s="1"/>
  <c r="P98" i="1"/>
  <c r="Q98" i="1" s="1"/>
  <c r="P112" i="1"/>
  <c r="Q112" i="1" s="1"/>
  <c r="P129" i="1"/>
  <c r="Q129" i="1" s="1"/>
  <c r="P147" i="1"/>
  <c r="Q147" i="1" s="1"/>
  <c r="P142" i="1"/>
  <c r="Q142" i="1" s="1"/>
  <c r="P36" i="1"/>
  <c r="Q36" i="1" s="1"/>
  <c r="P44" i="1"/>
  <c r="Q44" i="1" s="1"/>
  <c r="P52" i="1"/>
  <c r="Q52" i="1" s="1"/>
  <c r="P60" i="1"/>
  <c r="Q60" i="1" s="1"/>
  <c r="P68" i="1"/>
  <c r="Q68" i="1" s="1"/>
  <c r="P83" i="1"/>
  <c r="Q83" i="1" s="1"/>
  <c r="P318" i="1"/>
  <c r="Q318" i="1" s="1"/>
  <c r="P151" i="1"/>
  <c r="Q151" i="1" s="1"/>
  <c r="P138" i="1"/>
  <c r="Q138" i="1" s="1"/>
  <c r="P105" i="1"/>
  <c r="Q105" i="1" s="1"/>
  <c r="P133" i="1"/>
  <c r="Q133" i="1" s="1"/>
  <c r="P11" i="1"/>
  <c r="Q11" i="1" s="1"/>
  <c r="P85" i="1"/>
  <c r="Q85" i="1" s="1"/>
  <c r="P319" i="1"/>
  <c r="Q319" i="1" s="1"/>
  <c r="P165" i="1"/>
  <c r="Q165" i="1" s="1"/>
  <c r="P173" i="1"/>
  <c r="Q173" i="1" s="1"/>
  <c r="P181" i="1"/>
  <c r="Q181" i="1" s="1"/>
  <c r="P189" i="1"/>
  <c r="Q189" i="1" s="1"/>
  <c r="P197" i="1"/>
  <c r="Q197" i="1" s="1"/>
  <c r="P356" i="1"/>
  <c r="Q356" i="1" s="1"/>
  <c r="P326" i="1"/>
  <c r="Q326" i="1" s="1"/>
  <c r="P341" i="1"/>
  <c r="Q341" i="1" s="1"/>
  <c r="P324" i="1"/>
  <c r="Q324" i="1" s="1"/>
  <c r="P315" i="1"/>
  <c r="Q315" i="1" s="1"/>
  <c r="P363" i="1"/>
  <c r="Q363" i="1" s="1"/>
  <c r="P209" i="1"/>
  <c r="Q209" i="1" s="1"/>
  <c r="P217" i="1"/>
  <c r="Q217" i="1" s="1"/>
  <c r="P225" i="1"/>
  <c r="Q225" i="1" s="1"/>
  <c r="P233" i="1"/>
  <c r="Q233" i="1" s="1"/>
  <c r="P249" i="1"/>
  <c r="Q249" i="1" s="1"/>
  <c r="P257" i="1"/>
  <c r="Q257" i="1" s="1"/>
  <c r="P265" i="1"/>
  <c r="Q265" i="1" s="1"/>
  <c r="P273" i="1"/>
  <c r="Q273" i="1" s="1"/>
  <c r="P281" i="1"/>
  <c r="Q281" i="1" s="1"/>
  <c r="P297" i="1"/>
  <c r="Q297" i="1" s="1"/>
  <c r="P339" i="1"/>
  <c r="Q339" i="1" s="1"/>
  <c r="P320" i="1"/>
  <c r="Q320" i="1" s="1"/>
  <c r="P409" i="1"/>
  <c r="Q409" i="1" s="1"/>
  <c r="P365" i="1"/>
  <c r="Q365" i="1" s="1"/>
  <c r="P373" i="1"/>
  <c r="Q373" i="1" s="1"/>
  <c r="P381" i="1"/>
  <c r="Q381" i="1" s="1"/>
  <c r="P389" i="1"/>
  <c r="Q389" i="1" s="1"/>
  <c r="P442" i="1"/>
  <c r="Q442" i="1" s="1"/>
  <c r="P414" i="1"/>
  <c r="Q414" i="1" s="1"/>
  <c r="P433" i="1"/>
  <c r="Q433" i="1" s="1"/>
  <c r="P546" i="1"/>
  <c r="Q546" i="1" s="1"/>
  <c r="P452" i="1"/>
  <c r="Q452" i="1" s="1"/>
  <c r="P460" i="1"/>
  <c r="Q460" i="1" s="1"/>
  <c r="P476" i="1"/>
  <c r="Q476" i="1" s="1"/>
  <c r="P492" i="1"/>
  <c r="Q492" i="1" s="1"/>
  <c r="P500" i="1"/>
  <c r="Q500" i="1" s="1"/>
  <c r="P508" i="1"/>
  <c r="Q508" i="1" s="1"/>
  <c r="P516" i="1"/>
  <c r="Q516" i="1" s="1"/>
  <c r="P524" i="1"/>
  <c r="Q524" i="1" s="1"/>
  <c r="P540" i="1"/>
  <c r="Q540" i="1" s="1"/>
  <c r="P715" i="1"/>
  <c r="Q715" i="1" s="1"/>
  <c r="P731" i="1"/>
  <c r="Q731" i="1" s="1"/>
  <c r="P565" i="1"/>
  <c r="Q565" i="1" s="1"/>
  <c r="P573" i="1"/>
  <c r="Q573" i="1" s="1"/>
  <c r="P589" i="1"/>
  <c r="Q589" i="1" s="1"/>
  <c r="P605" i="1"/>
  <c r="Q605" i="1" s="1"/>
  <c r="P613" i="1"/>
  <c r="Q613" i="1" s="1"/>
  <c r="P621" i="1"/>
  <c r="Q621" i="1" s="1"/>
  <c r="P639" i="1"/>
  <c r="Q639" i="1" s="1"/>
  <c r="P664" i="1"/>
  <c r="Q664" i="1" s="1"/>
  <c r="P680" i="1"/>
  <c r="Q680" i="1" s="1"/>
  <c r="P688" i="1"/>
  <c r="Q688" i="1" s="1"/>
  <c r="P696" i="1"/>
  <c r="Q696" i="1" s="1"/>
  <c r="P704" i="1"/>
  <c r="Q704" i="1" s="1"/>
  <c r="P732" i="1"/>
  <c r="Q732" i="1" s="1"/>
  <c r="P726" i="1"/>
  <c r="Q726" i="1" s="1"/>
  <c r="P735" i="1"/>
  <c r="Q735" i="1" s="1"/>
  <c r="P755" i="1"/>
  <c r="Q755" i="1" s="1"/>
  <c r="P768" i="1"/>
  <c r="Q768" i="1" s="1"/>
  <c r="P776" i="1"/>
  <c r="Q776" i="1" s="1"/>
  <c r="P784" i="1"/>
  <c r="Q784" i="1" s="1"/>
  <c r="P800" i="1"/>
  <c r="Q800" i="1" s="1"/>
  <c r="P816" i="1"/>
  <c r="Q816" i="1" s="1"/>
  <c r="P973" i="1"/>
  <c r="Q973" i="1" s="1"/>
  <c r="P930" i="1"/>
  <c r="Q930" i="1" s="1"/>
  <c r="P922" i="1"/>
  <c r="Q922" i="1" s="1"/>
  <c r="P905" i="1"/>
  <c r="Q905" i="1" s="1"/>
  <c r="P828" i="1"/>
  <c r="Q828" i="1" s="1"/>
  <c r="P836" i="1"/>
  <c r="Q836" i="1" s="1"/>
  <c r="P844" i="1"/>
  <c r="Q844" i="1" s="1"/>
  <c r="P852" i="1"/>
  <c r="Q852" i="1" s="1"/>
  <c r="P932" i="1"/>
  <c r="Q932" i="1" s="1"/>
  <c r="P994" i="1"/>
  <c r="Q994" i="1" s="1"/>
  <c r="P915" i="1"/>
  <c r="Q915" i="1" s="1"/>
  <c r="P987" i="1"/>
  <c r="Q987" i="1" s="1"/>
  <c r="P958" i="1"/>
  <c r="Q958" i="1" s="1"/>
  <c r="P984" i="1"/>
  <c r="Q984" i="1" s="1"/>
  <c r="P102" i="1"/>
  <c r="Q102" i="1" s="1"/>
  <c r="P357" i="1"/>
  <c r="Q357" i="1" s="1"/>
  <c r="P740" i="1"/>
  <c r="Q740" i="1" s="1"/>
  <c r="P847" i="1"/>
  <c r="Q847" i="1" s="1"/>
  <c r="P999" i="1"/>
  <c r="Q999" i="1" s="1"/>
  <c r="P76" i="1"/>
  <c r="Q76" i="1" s="1"/>
  <c r="P155" i="1"/>
  <c r="Q155" i="1" s="1"/>
  <c r="P37" i="1"/>
  <c r="Q37" i="1" s="1"/>
  <c r="P45" i="1"/>
  <c r="Q45" i="1" s="1"/>
  <c r="P53" i="1"/>
  <c r="Q53" i="1" s="1"/>
  <c r="P61" i="1"/>
  <c r="Q61" i="1" s="1"/>
  <c r="P69" i="1"/>
  <c r="Q69" i="1" s="1"/>
  <c r="P424" i="1"/>
  <c r="Q424" i="1" s="1"/>
  <c r="P146" i="1"/>
  <c r="Q146" i="1" s="1"/>
  <c r="P107" i="1"/>
  <c r="Q107" i="1" s="1"/>
  <c r="P141" i="1"/>
  <c r="Q141" i="1" s="1"/>
  <c r="P12" i="1"/>
  <c r="Q12" i="1" s="1"/>
  <c r="P91" i="1"/>
  <c r="Q91" i="1" s="1"/>
  <c r="P338" i="1"/>
  <c r="Q338" i="1" s="1"/>
  <c r="P182" i="1"/>
  <c r="Q182" i="1" s="1"/>
  <c r="P198" i="1"/>
  <c r="Q198" i="1" s="1"/>
  <c r="P311" i="1"/>
  <c r="Q311" i="1" s="1"/>
  <c r="P418" i="1"/>
  <c r="Q418" i="1" s="1"/>
  <c r="P345" i="1"/>
  <c r="Q345" i="1" s="1"/>
  <c r="P332" i="1"/>
  <c r="Q332" i="1" s="1"/>
  <c r="P411" i="1"/>
  <c r="Q411" i="1" s="1"/>
  <c r="P218" i="1"/>
  <c r="Q218" i="1" s="1"/>
  <c r="P226" i="1"/>
  <c r="Q226" i="1" s="1"/>
  <c r="P234" i="1"/>
  <c r="Q234" i="1" s="1"/>
  <c r="P242" i="1"/>
  <c r="Q242" i="1" s="1"/>
  <c r="P250" i="1"/>
  <c r="Q250" i="1" s="1"/>
  <c r="P266" i="1"/>
  <c r="Q266" i="1" s="1"/>
  <c r="P274" i="1"/>
  <c r="Q274" i="1" s="1"/>
  <c r="P290" i="1"/>
  <c r="Q290" i="1" s="1"/>
  <c r="P298" i="1"/>
  <c r="Q298" i="1" s="1"/>
  <c r="P440" i="1"/>
  <c r="Q440" i="1" s="1"/>
  <c r="P343" i="1"/>
  <c r="Q343" i="1" s="1"/>
  <c r="P328" i="1"/>
  <c r="Q328" i="1" s="1"/>
  <c r="P366" i="1"/>
  <c r="Q366" i="1" s="1"/>
  <c r="P382" i="1"/>
  <c r="Q382" i="1" s="1"/>
  <c r="P390" i="1"/>
  <c r="Q390" i="1" s="1"/>
  <c r="P398" i="1"/>
  <c r="Q398" i="1" s="1"/>
  <c r="P407" i="1"/>
  <c r="Q407" i="1" s="1"/>
  <c r="P420" i="1"/>
  <c r="Q420" i="1" s="1"/>
  <c r="P545" i="1"/>
  <c r="Q545" i="1" s="1"/>
  <c r="P461" i="1"/>
  <c r="Q461" i="1" s="1"/>
  <c r="P469" i="1"/>
  <c r="Q469" i="1" s="1"/>
  <c r="P477" i="1"/>
  <c r="Q477" i="1" s="1"/>
  <c r="P485" i="1"/>
  <c r="Q485" i="1" s="1"/>
  <c r="P493" i="1"/>
  <c r="Q493" i="1" s="1"/>
  <c r="P509" i="1"/>
  <c r="Q509" i="1" s="1"/>
  <c r="P525" i="1"/>
  <c r="Q525" i="1" s="1"/>
  <c r="P533" i="1"/>
  <c r="Q533" i="1" s="1"/>
  <c r="P541" i="1"/>
  <c r="Q541" i="1" s="1"/>
  <c r="P628" i="1"/>
  <c r="Q628" i="1" s="1"/>
  <c r="P626" i="1"/>
  <c r="Q626" i="1" s="1"/>
  <c r="P558" i="1"/>
  <c r="Q558" i="1" s="1"/>
  <c r="P574" i="1"/>
  <c r="Q574" i="1" s="1"/>
  <c r="P582" i="1"/>
  <c r="Q582" i="1" s="1"/>
  <c r="P590" i="1"/>
  <c r="Q590" i="1" s="1"/>
  <c r="P598" i="1"/>
  <c r="Q598" i="1" s="1"/>
  <c r="P606" i="1"/>
  <c r="Q606" i="1" s="1"/>
  <c r="P614" i="1"/>
  <c r="Q614" i="1" s="1"/>
  <c r="P622" i="1"/>
  <c r="Q622" i="1" s="1"/>
  <c r="P725" i="1"/>
  <c r="Q725" i="1" s="1"/>
  <c r="P657" i="1"/>
  <c r="Q657" i="1" s="1"/>
  <c r="P665" i="1"/>
  <c r="Q665" i="1" s="1"/>
  <c r="P673" i="1"/>
  <c r="Q673" i="1" s="1"/>
  <c r="P681" i="1"/>
  <c r="Q681" i="1" s="1"/>
  <c r="P689" i="1"/>
  <c r="Q689" i="1" s="1"/>
  <c r="P697" i="1"/>
  <c r="Q697" i="1" s="1"/>
  <c r="P747" i="1"/>
  <c r="Q747" i="1" s="1"/>
  <c r="P721" i="1"/>
  <c r="Q721" i="1" s="1"/>
  <c r="P733" i="1"/>
  <c r="Q733" i="1" s="1"/>
  <c r="P757" i="1"/>
  <c r="Q757" i="1" s="1"/>
  <c r="P743" i="1"/>
  <c r="Q743" i="1" s="1"/>
  <c r="P769" i="1"/>
  <c r="Q769" i="1" s="1"/>
  <c r="P785" i="1"/>
  <c r="Q785" i="1" s="1"/>
  <c r="P793" i="1"/>
  <c r="Q793" i="1" s="1"/>
  <c r="P801" i="1"/>
  <c r="Q801" i="1" s="1"/>
  <c r="P809" i="1"/>
  <c r="Q809" i="1" s="1"/>
  <c r="P817" i="1"/>
  <c r="Q817" i="1" s="1"/>
  <c r="P891" i="1"/>
  <c r="Q891" i="1" s="1"/>
  <c r="P908" i="1"/>
  <c r="Q908" i="1" s="1"/>
  <c r="P926" i="1"/>
  <c r="Q926" i="1" s="1"/>
  <c r="P965" i="1"/>
  <c r="Q965" i="1" s="1"/>
  <c r="P907" i="1"/>
  <c r="Q907" i="1" s="1"/>
  <c r="P969" i="1"/>
  <c r="Q969" i="1" s="1"/>
  <c r="P829" i="1"/>
  <c r="Q829" i="1" s="1"/>
  <c r="P845" i="1"/>
  <c r="Q845" i="1" s="1"/>
  <c r="P861" i="1"/>
  <c r="Q861" i="1" s="1"/>
  <c r="P869" i="1"/>
  <c r="Q869" i="1" s="1"/>
  <c r="P940" i="1"/>
  <c r="Q940" i="1" s="1"/>
  <c r="P966" i="1"/>
  <c r="Q966" i="1" s="1"/>
  <c r="P998" i="1"/>
  <c r="Q998" i="1" s="1"/>
  <c r="P942" i="1"/>
  <c r="Q942" i="1" s="1"/>
  <c r="P928" i="1"/>
  <c r="Q928" i="1" s="1"/>
  <c r="P956" i="1"/>
  <c r="Q956" i="1" s="1"/>
  <c r="P988" i="1"/>
  <c r="Q988" i="1" s="1"/>
  <c r="P55" i="1"/>
  <c r="Q55" i="1" s="1"/>
  <c r="P124" i="1"/>
  <c r="Q124" i="1" s="1"/>
  <c r="P30" i="1"/>
  <c r="Q30" i="1" s="1"/>
  <c r="P27" i="1"/>
  <c r="Q27" i="1" s="1"/>
  <c r="P78" i="1"/>
  <c r="Q78" i="1" s="1"/>
  <c r="P77" i="1"/>
  <c r="Q77" i="1" s="1"/>
  <c r="P38" i="1"/>
  <c r="Q38" i="1" s="1"/>
  <c r="P46" i="1"/>
  <c r="Q46" i="1" s="1"/>
  <c r="P54" i="1"/>
  <c r="Q54" i="1" s="1"/>
  <c r="P62" i="1"/>
  <c r="Q62" i="1" s="1"/>
  <c r="P70" i="1"/>
  <c r="Q70" i="1" s="1"/>
  <c r="P95" i="1"/>
  <c r="Q95" i="1" s="1"/>
  <c r="P82" i="1"/>
  <c r="Q82" i="1" s="1"/>
  <c r="P154" i="1"/>
  <c r="Q154" i="1" s="1"/>
  <c r="P149" i="1"/>
  <c r="Q149" i="1" s="1"/>
  <c r="P13" i="1"/>
  <c r="Q13" i="1" s="1"/>
  <c r="P120" i="1"/>
  <c r="Q120" i="1" s="1"/>
  <c r="P159" i="1"/>
  <c r="Q159" i="1" s="1"/>
  <c r="P167" i="1"/>
  <c r="Q167" i="1" s="1"/>
  <c r="P183" i="1"/>
  <c r="Q183" i="1" s="1"/>
  <c r="P199" i="1"/>
  <c r="Q199" i="1" s="1"/>
  <c r="P334" i="1"/>
  <c r="Q334" i="1" s="1"/>
  <c r="P301" i="1"/>
  <c r="Q301" i="1" s="1"/>
  <c r="P353" i="1"/>
  <c r="Q353" i="1" s="1"/>
  <c r="P350" i="1"/>
  <c r="Q350" i="1" s="1"/>
  <c r="P427" i="1"/>
  <c r="Q427" i="1" s="1"/>
  <c r="P219" i="1"/>
  <c r="Q219" i="1" s="1"/>
  <c r="P227" i="1"/>
  <c r="Q227" i="1" s="1"/>
  <c r="P235" i="1"/>
  <c r="Q235" i="1" s="1"/>
  <c r="P243" i="1"/>
  <c r="Q243" i="1" s="1"/>
  <c r="P251" i="1"/>
  <c r="Q251" i="1" s="1"/>
  <c r="P267" i="1"/>
  <c r="Q267" i="1" s="1"/>
  <c r="P283" i="1"/>
  <c r="Q283" i="1" s="1"/>
  <c r="P291" i="1"/>
  <c r="Q291" i="1" s="1"/>
  <c r="P306" i="1"/>
  <c r="Q306" i="1" s="1"/>
  <c r="P547" i="1"/>
  <c r="Q547" i="1" s="1"/>
  <c r="P349" i="1"/>
  <c r="Q349" i="1" s="1"/>
  <c r="P367" i="1"/>
  <c r="Q367" i="1" s="1"/>
  <c r="P383" i="1"/>
  <c r="Q383" i="1" s="1"/>
  <c r="P391" i="1"/>
  <c r="Q391" i="1" s="1"/>
  <c r="P415" i="1"/>
  <c r="Q415" i="1" s="1"/>
  <c r="P549" i="1"/>
  <c r="Q549" i="1" s="1"/>
  <c r="P462" i="1"/>
  <c r="Q462" i="1" s="1"/>
  <c r="P470" i="1"/>
  <c r="Q470" i="1" s="1"/>
  <c r="P478" i="1"/>
  <c r="Q478" i="1" s="1"/>
  <c r="P486" i="1"/>
  <c r="Q486" i="1" s="1"/>
  <c r="P510" i="1"/>
  <c r="Q510" i="1" s="1"/>
  <c r="P526" i="1"/>
  <c r="Q526" i="1" s="1"/>
  <c r="P534" i="1"/>
  <c r="Q534" i="1" s="1"/>
  <c r="P636" i="1"/>
  <c r="Q636" i="1" s="1"/>
  <c r="P559" i="1"/>
  <c r="Q559" i="1" s="1"/>
  <c r="P575" i="1"/>
  <c r="Q575" i="1" s="1"/>
  <c r="P583" i="1"/>
  <c r="Q583" i="1" s="1"/>
  <c r="P591" i="1"/>
  <c r="Q591" i="1" s="1"/>
  <c r="P599" i="1"/>
  <c r="Q599" i="1" s="1"/>
  <c r="P623" i="1"/>
  <c r="Q623" i="1" s="1"/>
  <c r="P734" i="1"/>
  <c r="Q734" i="1" s="1"/>
  <c r="P658" i="1"/>
  <c r="Q658" i="1" s="1"/>
  <c r="P666" i="1"/>
  <c r="Q666" i="1" s="1"/>
  <c r="P674" i="1"/>
  <c r="Q674" i="1" s="1"/>
  <c r="P698" i="1"/>
  <c r="Q698" i="1" s="1"/>
  <c r="P750" i="1"/>
  <c r="Q750" i="1" s="1"/>
  <c r="P729" i="1"/>
  <c r="Q729" i="1" s="1"/>
  <c r="P739" i="1"/>
  <c r="Q739" i="1" s="1"/>
  <c r="P761" i="1"/>
  <c r="Q761" i="1" s="1"/>
  <c r="P770" i="1"/>
  <c r="Q770" i="1" s="1"/>
  <c r="P786" i="1"/>
  <c r="Q786" i="1" s="1"/>
  <c r="P794" i="1"/>
  <c r="Q794" i="1" s="1"/>
  <c r="P802" i="1"/>
  <c r="Q802" i="1" s="1"/>
  <c r="P810" i="1"/>
  <c r="Q810" i="1" s="1"/>
  <c r="P938" i="1"/>
  <c r="Q938" i="1" s="1"/>
  <c r="P962" i="1"/>
  <c r="Q962" i="1" s="1"/>
  <c r="P981" i="1"/>
  <c r="Q981" i="1" s="1"/>
  <c r="P909" i="1"/>
  <c r="Q909" i="1" s="1"/>
  <c r="P985" i="1"/>
  <c r="Q985" i="1" s="1"/>
  <c r="P846" i="1"/>
  <c r="Q846" i="1" s="1"/>
  <c r="P862" i="1"/>
  <c r="Q862" i="1" s="1"/>
  <c r="P878" i="1"/>
  <c r="Q878" i="1" s="1"/>
  <c r="P970" i="1"/>
  <c r="Q970" i="1" s="1"/>
  <c r="P963" i="1"/>
  <c r="Q963" i="1" s="1"/>
  <c r="P936" i="1"/>
  <c r="Q936" i="1" s="1"/>
  <c r="P961" i="1"/>
  <c r="Q961" i="1" s="1"/>
  <c r="P992" i="1"/>
  <c r="Q992" i="1" s="1"/>
  <c r="P104" i="1"/>
  <c r="Q104" i="1" s="1"/>
  <c r="Q5" i="1" l="1"/>
  <c r="V20" i="1" s="1"/>
</calcChain>
</file>

<file path=xl/sharedStrings.xml><?xml version="1.0" encoding="utf-8"?>
<sst xmlns="http://schemas.openxmlformats.org/spreadsheetml/2006/main" count="37" uniqueCount="37">
  <si>
    <t>ID</t>
  </si>
  <si>
    <t>RecoveryTime</t>
  </si>
  <si>
    <t>p_i</t>
  </si>
  <si>
    <t>beta_recovery</t>
  </si>
  <si>
    <t>Recovery Time (Stand.)</t>
  </si>
  <si>
    <t>Y (Previous Injuries)</t>
  </si>
  <si>
    <t>Residui</t>
  </si>
  <si>
    <t>Loglike_i</t>
  </si>
  <si>
    <t>"Probabilistic analysis of injury risk in professional athletes as a function of workload"</t>
  </si>
  <si>
    <t>Age (years)</t>
  </si>
  <si>
    <t xml:space="preserve">Age^2 </t>
  </si>
  <si>
    <t>Weight (kg)</t>
  </si>
  <si>
    <t>Height (cm)</t>
  </si>
  <si>
    <t>Intensity (0-1)</t>
  </si>
  <si>
    <t>Recovery Time (Days)</t>
  </si>
  <si>
    <t>Age (Stand.)</t>
  </si>
  <si>
    <t>Age^2   (Stand.)</t>
  </si>
  <si>
    <t>Weight (Stand.)</t>
  </si>
  <si>
    <t>Height (Stand.)</t>
  </si>
  <si>
    <t>Intensity (Stand.)</t>
  </si>
  <si>
    <t xml:space="preserve">z_i </t>
  </si>
  <si>
    <t>MEAN and STD.DEV. (for standardization)</t>
  </si>
  <si>
    <t>Age</t>
  </si>
  <si>
    <t>Weight</t>
  </si>
  <si>
    <t>Height</t>
  </si>
  <si>
    <t>Intensity</t>
  </si>
  <si>
    <t>Age^2</t>
  </si>
  <si>
    <t>PARAMETERS (Solver)</t>
  </si>
  <si>
    <t>beta0 (intercept)</t>
  </si>
  <si>
    <t>beta_age</t>
  </si>
  <si>
    <t>beta_weight</t>
  </si>
  <si>
    <t>beta_height</t>
  </si>
  <si>
    <t>beta_intensity</t>
  </si>
  <si>
    <t>beta_age^2</t>
  </si>
  <si>
    <t>OBJECTIVE (Solver to MAXIMIZE)</t>
  </si>
  <si>
    <t>Total Log-Likelihood</t>
  </si>
  <si>
    <t>Real data: 1000 athletes.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</si>
</sst>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00000"/>
  </numFmts>
  <fonts count="7" x14ac:knownFonts="1">
    <font>
      <sz val="11"/>
      <color theme="1"/>
      <name val="Calibri"/>
      <family val="2"/>
      <charset val="1"/>
    </font>
    <font>
      <b/>
      <sz val="14"/>
      <color rgb="FF1F4E78"/>
      <name val="Arial"/>
      <family val="2"/>
    </font>
    <font>
      <i/>
      <sz val="9"/>
      <color rgb="FF7F7F7F"/>
      <name val="Arial"/>
      <family val="2"/>
    </font>
    <font>
      <b/>
      <sz val="11"/>
      <color rgb="FF1F4E78"/>
      <name val="Arial"/>
      <family val="2"/>
    </font>
    <font>
      <sz val="10"/>
      <name val="Arial"/>
      <family val="2"/>
    </font>
    <font>
      <b/>
      <sz val="11"/>
      <color rgb="FFFFFFFF"/>
      <name val="Arial"/>
      <family val="2"/>
    </font>
    <font>
      <b/>
      <sz val="11"/>
      <name val="Arial"/>
      <family val="2"/>
    </font>
  </fonts>
  <fills count="10">
    <fill>
      <patternFill patternType="none"/>
    </fill>
    <fill>
      <patternFill patternType="gray125"/>
    </fill>
    <fill>
      <patternFill patternType="solid">
        <fgColor rgb="FFFCE4D6"/>
        <bgColor rgb="FFE2EFDA"/>
      </patternFill>
    </fill>
    <fill>
      <patternFill patternType="solid">
        <fgColor rgb="FF1F4E78"/>
        <bgColor rgb="FF003366"/>
      </patternFill>
    </fill>
    <fill>
      <patternFill patternType="solid">
        <fgColor rgb="FFFFFF00"/>
        <bgColor rgb="FFFFFF00"/>
      </patternFill>
    </fill>
    <fill>
      <patternFill patternType="solid">
        <fgColor rgb="FFE2EFDA"/>
        <bgColor rgb="FFFCE4D6"/>
      </patternFill>
    </fill>
    <fill>
      <patternFill patternType="solid">
        <fgColor theme="0"/>
        <bgColor indexed="64"/>
      </patternFill>
    </fill>
    <fill>
      <patternFill patternType="solid">
        <fgColor rgb="FFFCE4D6"/>
        <bgColor indexed="64"/>
      </patternFill>
    </fill>
    <fill>
      <patternFill patternType="solid">
        <fgColor theme="0"/>
        <bgColor rgb="FFE2EFDA"/>
      </patternFill>
    </fill>
    <fill>
      <patternFill patternType="solid">
        <fgColor theme="0"/>
        <bgColor rgb="FFFFFF00"/>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thin">
        <color rgb="FFBFBFBF"/>
      </right>
      <top style="medium">
        <color indexed="64"/>
      </top>
      <bottom style="medium">
        <color indexed="64"/>
      </bottom>
      <diagonal/>
    </border>
    <border>
      <left style="thin">
        <color rgb="FFBFBFBF"/>
      </left>
      <right style="medium">
        <color indexed="64"/>
      </right>
      <top style="medium">
        <color indexed="64"/>
      </top>
      <bottom style="medium">
        <color indexed="64"/>
      </bottom>
      <diagonal/>
    </border>
    <border>
      <left/>
      <right/>
      <top/>
      <bottom style="thin">
        <color rgb="FFBFBFB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29">
    <xf numFmtId="0" fontId="0" fillId="0" borderId="0" xfId="0"/>
    <xf numFmtId="0" fontId="5" fillId="3" borderId="1" xfId="0" applyFont="1" applyFill="1" applyBorder="1" applyAlignment="1">
      <alignment horizontal="center" wrapText="1"/>
    </xf>
    <xf numFmtId="0" fontId="4" fillId="0" borderId="0" xfId="0" applyFont="1"/>
    <xf numFmtId="164" fontId="4" fillId="0" borderId="0" xfId="0" applyNumberFormat="1" applyFont="1"/>
    <xf numFmtId="0" fontId="0" fillId="6" borderId="0" xfId="0" applyFill="1"/>
    <xf numFmtId="0" fontId="1" fillId="0" borderId="0" xfId="0" applyFont="1" applyBorder="1" applyAlignment="1"/>
    <xf numFmtId="0" fontId="2" fillId="0" borderId="0" xfId="0" applyFont="1" applyBorder="1" applyAlignment="1"/>
    <xf numFmtId="0" fontId="0" fillId="2" borderId="2" xfId="0" applyFont="1" applyFill="1" applyBorder="1"/>
    <xf numFmtId="164" fontId="6" fillId="5" borderId="3" xfId="0" applyNumberFormat="1" applyFont="1" applyFill="1" applyBorder="1"/>
    <xf numFmtId="0" fontId="3" fillId="6" borderId="0" xfId="0" applyFont="1" applyFill="1" applyBorder="1" applyAlignment="1">
      <alignment horizontal="center"/>
    </xf>
    <xf numFmtId="0" fontId="3" fillId="6" borderId="4" xfId="0" applyFont="1" applyFill="1" applyBorder="1" applyAlignment="1">
      <alignment horizontal="center"/>
    </xf>
    <xf numFmtId="0" fontId="0" fillId="8" borderId="0" xfId="0" applyFont="1" applyFill="1" applyBorder="1"/>
    <xf numFmtId="165" fontId="0" fillId="9" borderId="0" xfId="0" applyNumberFormat="1" applyFill="1" applyBorder="1"/>
    <xf numFmtId="0" fontId="0" fillId="2" borderId="5" xfId="0" applyFont="1" applyFill="1" applyBorder="1"/>
    <xf numFmtId="165" fontId="0" fillId="4" borderId="6" xfId="0" applyNumberFormat="1" applyFill="1" applyBorder="1"/>
    <xf numFmtId="0" fontId="0" fillId="2" borderId="7" xfId="0" applyFont="1" applyFill="1" applyBorder="1"/>
    <xf numFmtId="165" fontId="0" fillId="4" borderId="8" xfId="0" applyNumberFormat="1" applyFill="1" applyBorder="1"/>
    <xf numFmtId="0" fontId="0" fillId="2" borderId="9" xfId="0" applyFont="1" applyFill="1" applyBorder="1"/>
    <xf numFmtId="165" fontId="0" fillId="4" borderId="10" xfId="0" applyNumberFormat="1" applyFill="1" applyBorder="1"/>
    <xf numFmtId="164" fontId="0" fillId="0" borderId="0" xfId="0" applyNumberFormat="1" applyBorder="1"/>
    <xf numFmtId="0" fontId="4" fillId="2" borderId="5" xfId="0" applyFont="1" applyFill="1" applyBorder="1"/>
    <xf numFmtId="164" fontId="4" fillId="0" borderId="11" xfId="0" applyNumberFormat="1" applyFont="1" applyBorder="1"/>
    <xf numFmtId="164" fontId="0" fillId="0" borderId="6" xfId="0" applyNumberFormat="1" applyBorder="1"/>
    <xf numFmtId="164" fontId="0" fillId="0" borderId="8" xfId="0" applyNumberFormat="1" applyBorder="1"/>
    <xf numFmtId="0" fontId="0" fillId="7" borderId="9" xfId="0" applyFill="1" applyBorder="1"/>
    <xf numFmtId="0" fontId="0" fillId="0" borderId="12" xfId="0" applyBorder="1"/>
    <xf numFmtId="0" fontId="0" fillId="0" borderId="10" xfId="0" applyBorder="1"/>
    <xf numFmtId="0" fontId="5" fillId="3" borderId="0" xfId="0" applyFont="1" applyFill="1" applyBorder="1" applyAlignment="1">
      <alignment horizontal="center" wrapText="1"/>
    </xf>
    <xf numFmtId="0" fontId="3" fillId="0" borderId="0" xfId="0" applyFont="1" applyBorder="1"/>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CE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571500</xdr:colOff>
      <xdr:row>0</xdr:row>
      <xdr:rowOff>144780</xdr:rowOff>
    </xdr:from>
    <xdr:ext cx="12443460" cy="10523220"/>
    <xdr:sp macro="" textlink="">
      <xdr:nvSpPr>
        <xdr:cNvPr id="2" name="CasellaDiTesto 1"/>
        <xdr:cNvSpPr txBox="1"/>
      </xdr:nvSpPr>
      <xdr:spPr>
        <a:xfrm>
          <a:off x="571500" y="144780"/>
          <a:ext cx="12443460" cy="10523220"/>
        </a:xfrm>
        <a:prstGeom prst="rect">
          <a:avLst/>
        </a:prstGeom>
        <a:solidFill>
          <a:schemeClr val="bg2"/>
        </a:solidFill>
        <a:ln>
          <a:solidFill>
            <a:srgbClr val="FFFF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b="1" i="0"/>
            <a:t>1. Introduction — the</a:t>
          </a:r>
          <a:r>
            <a:rPr lang="it-IT" b="1" i="0" baseline="0"/>
            <a:t> problem and the objective</a:t>
          </a:r>
          <a:endParaRPr lang="it-IT" b="1" i="0"/>
        </a:p>
        <a:p>
          <a:r>
            <a:rPr lang="it-IT"/>
            <a:t>My work is a probabilistic analysis of injury risk in professional athletes, with the aim of understanding to what extent the workload — age, weight, height, training intensity, and recovery time — is associated with injury risk. The analysis was originally articulated across three objectives: the number of injuries per season, the time between consecutive injuries, and the probability that an athlete suffers at least one injury. I used a real dataset imported from Kaggle with 1,000 anonymous athletes (thus practicing different sports).</a:t>
          </a:r>
        </a:p>
        <a:p>
          <a:r>
            <a:rPr lang="it-IT" b="1" i="0"/>
            <a:t>2. The dataset </a:t>
          </a:r>
        </a:p>
        <a:p>
          <a:r>
            <a:rPr lang="it-IT"/>
            <a:t>The original dataset contains seven variables: age, weight, height, a binary indicator of previous injuries (Previous_Injuries), training intensity, recovery time, and a second binary variable (Likelihood_of_Injury). While analyzing the data, I discovered a constraint that determined the choice of the statistical model: Previous_Injuries is not a count (0,1,2,3...) as I initially expected, but rather it is binary — it only assumes values of 0 or 1, simply indicating whether the athlete has had injuries in the past or not. This means the dataset does not allow for directly modeling 'the number of injuries in a season' with a count distribution like Poisson, because that granular variable is not available. The dataset, however, is perfectly suited to answer the third objective of my analysis: the probability of injury.</a:t>
          </a:r>
          <a:endParaRPr lang="it-IT" i="0"/>
        </a:p>
        <a:p>
          <a:r>
            <a:rPr lang="it-IT" b="1" i="0"/>
            <a:t>3.</a:t>
          </a:r>
          <a:r>
            <a:rPr lang="it-IT" b="1" i="0" baseline="0"/>
            <a:t> Logistic Regression</a:t>
          </a:r>
        </a:p>
        <a:p>
          <a:r>
            <a:rPr lang="it-IT"/>
            <a:t>When the variable to be explained is an unbounded count (0,1,2,3...), the appropriate model is Poisson regression. When instead it is binary — as in my case — the statistically correct model is logistic regression, based on the Bernoulli distribution. The underlying logic is the same in both cases: we want to estimate how the rate or the probability of an event varies as a function of some covariates, through a generalized linear model (GLM). Only the underlying probability distribution changes, because the type of observed data changes.</a:t>
          </a:r>
          <a:endParaRPr lang="it-IT" b="1" i="0"/>
        </a:p>
        <a:p>
          <a:r>
            <a:rPr lang="it-IT" b="1" i="0"/>
            <a:t>4. The</a:t>
          </a:r>
          <a:r>
            <a:rPr lang="it-IT" b="1" i="0" baseline="0"/>
            <a:t> mathematical scructure of the model</a:t>
          </a:r>
          <a:endParaRPr lang="it-IT" b="1" i="0"/>
        </a:p>
        <a:p>
          <a:r>
            <a:rPr lang="it-IT"/>
            <a:t>The logistic model assumes that each athlete </a:t>
          </a:r>
          <a:r>
            <a:rPr lang="it-IT" i="1"/>
            <a:t>i</a:t>
          </a:r>
          <a:r>
            <a:rPr lang="it-IT"/>
            <a:t> has a probability </a:t>
          </a:r>
          <a:r>
            <a:rPr lang="it-IT" i="1"/>
            <a:t>p_i</a:t>
          </a:r>
          <a:r>
            <a:rPr lang="it-IT"/>
            <a:t> of having Previous_Injuries equal to 1, and that this probability depends on a linear combination of their characteristics:</a:t>
          </a:r>
          <a:endParaRPr lang="it-IT" i="0"/>
        </a:p>
        <a:p>
          <a:r>
            <a:rPr lang="it-IT"/>
            <a:t/>
          </a:r>
          <a:br>
            <a:rPr lang="it-IT"/>
          </a:br>
          <a:endParaRPr lang="it-IT"/>
        </a:p>
        <a:p>
          <a:endParaRPr lang="it-IT"/>
        </a:p>
        <a:p>
          <a:endParaRPr lang="it-IT"/>
        </a:p>
        <a:p>
          <a:r>
            <a:rPr lang="it-IT"/>
            <a:t>Since </a:t>
          </a:r>
          <a:r>
            <a:rPr lang="it-IT" i="1"/>
            <a:t>z_i</a:t>
          </a:r>
          <a:r>
            <a:rPr lang="it-IT"/>
            <a:t> can take any real value, while a probability must necessarily be between 0 and 1, I apply the logistic function to constrain the result to the correct interval:</a:t>
          </a:r>
          <a:br>
            <a:rPr lang="it-IT"/>
          </a:br>
          <a:endParaRPr lang="it-IT"/>
        </a:p>
        <a:p>
          <a:endParaRPr lang="it-IT" i="1"/>
        </a:p>
        <a:p>
          <a:endParaRPr lang="it-IT" i="1"/>
        </a:p>
        <a:p>
          <a:endParaRPr lang="it-IT" b="1" i="0"/>
        </a:p>
        <a:p>
          <a:endParaRPr lang="it-IT" b="1" i="0"/>
        </a:p>
        <a:p>
          <a:r>
            <a:rPr lang="it-IT"/>
            <a:t>This transformation is the equivalent, in the binary case, of what the exponential does in Poisson regression to guarantee that the expected rate is always positive — the function changes, but the purpose is identical: to respect the mathematical constraint of the quantity being modeled. Furthermore, a non-linear specification was tested, including the quadratic term for age, to verify the hypothesis of a 'U-shaped' effect (higher risk at the extremes of age). The improvement in log-likelihood is negligible (from -690.83 to -690.65) and the coefficient of the quadratic term is not statistically significant. It is concluded that the hypothesis of non-linearity in the effect of age is not supported by the available data. For completeness, the quadratic terms of all five variables were systematically tested to check for the presence of non-linear effects. In no case was the quadratic term statistically significant, and the improvement in log-likelihood was negligible in all cases. This result reinforces the conclusion that the available variables, whether in linear or quadratic form, do not significantly explain the variability of Previous_Injuries in this sample.</a:t>
          </a:r>
          <a:endParaRPr lang="it-IT" b="1" i="0"/>
        </a:p>
        <a:p>
          <a:r>
            <a:rPr lang="it-IT" b="1" i="0"/>
            <a:t>5.</a:t>
          </a:r>
          <a:r>
            <a:rPr lang="it-IT" b="1" i="0" baseline="0"/>
            <a:t> Parameter estimation - maximum likelihood</a:t>
          </a:r>
        </a:p>
        <a:p>
          <a:r>
            <a:rPr lang="it-IT"/>
            <a:t>The </a:t>
          </a:r>
          <a:r>
            <a:rPr lang="el-GR"/>
            <a:t>β </a:t>
          </a:r>
          <a:r>
            <a:rPr lang="it-IT"/>
            <a:t>coefficients do not have a closed-form formula as in classical linear regression: they are estimated by maximum likelihood. Since each </a:t>
          </a:r>
          <a:r>
            <a:rPr lang="it-IT" i="1"/>
            <a:t>y_i</a:t>
          </a:r>
          <a:r>
            <a:rPr lang="it-IT"/>
            <a:t> follows a Bernoulli distribution, the probability of observing exactly the data I have in the sample is:</a:t>
          </a:r>
          <a:br>
            <a:rPr lang="it-IT"/>
          </a:br>
          <a:endParaRPr lang="it-IT"/>
        </a:p>
        <a:p>
          <a:endParaRPr lang="it-IT"/>
        </a:p>
        <a:p>
          <a:endParaRPr lang="it-IT" i="0"/>
        </a:p>
        <a:p>
          <a:r>
            <a:rPr lang="it-IT"/>
            <a:t>The </a:t>
          </a:r>
          <a:r>
            <a:rPr lang="el-GR"/>
            <a:t>β </a:t>
          </a:r>
          <a:r>
            <a:rPr lang="it-IT"/>
            <a:t>coefficients do not have a closed-form formula as in classical linear regression: they are estimated by maximum likelihood. Since each </a:t>
          </a:r>
          <a:r>
            <a:rPr lang="it-IT" i="1"/>
            <a:t>y_i</a:t>
          </a:r>
          <a:r>
            <a:rPr lang="it-IT"/>
            <a:t> follows a Bernoulli distribution, the probability of observing exactly the data I have in the sample is:</a:t>
          </a:r>
          <a:endParaRPr lang="it-IT" i="0"/>
        </a:p>
        <a:p>
          <a:endParaRPr lang="it-IT" i="0"/>
        </a:p>
        <a:p>
          <a:endParaRPr lang="it-IT" i="0"/>
        </a:p>
        <a:p>
          <a:endParaRPr lang="it-IT" i="0"/>
        </a:p>
        <a:p>
          <a:r>
            <a:rPr lang="it-IT"/>
            <a:t>Summing over all 1,000 athletes, I obtain the total log-likelihood, the objective function that must be maximized with respect to the six beta parameters</a:t>
          </a:r>
          <a:endParaRPr lang="it-IT" i="0"/>
        </a:p>
        <a:p>
          <a:r>
            <a:rPr lang="it-IT" b="1" i="0"/>
            <a:t>6. Implementation in Excel</a:t>
          </a:r>
        </a:p>
        <a:p>
          <a:r>
            <a:rPr lang="it-IT"/>
            <a:t>The structure of the spreadsheet exactly follows the mathematical logic: the columns with the raw data, standardization columns (z-score) for age, weight, height, intensity, and recovery time — necessary because these variables have very different scales, and without standardization the optimization algorithm tends to converge asymmetrically, giving more weight to variables with a wider numerical range. Then the columns calculating </a:t>
          </a:r>
          <a:r>
            <a:rPr lang="it-IT" i="1"/>
            <a:t>z_i</a:t>
          </a:r>
          <a:r>
            <a:rPr lang="it-IT"/>
            <a:t>, </a:t>
          </a:r>
          <a:r>
            <a:rPr lang="it-IT" i="1"/>
            <a:t>p_i</a:t>
          </a:r>
          <a:r>
            <a:rPr lang="it-IT"/>
            <a:t>, and the contribution of each row to the log-likelihood, down to the final cell that sums everything. I used the Excel Solver add-in, with the GRG Nonlinear (Generalized Reduced Gradient) method, to find the six beta parameters that maximize that sum. A positive beta indicates that the variable increases the probability of previous injuries, a negative one reduces it</a:t>
          </a:r>
          <a:endParaRPr lang="it-IT" b="1" i="0"/>
        </a:p>
        <a:p>
          <a:r>
            <a:rPr lang="it-IT" b="1" i="0"/>
            <a:t>7. The</a:t>
          </a:r>
          <a:r>
            <a:rPr lang="it-IT" b="1" i="0" baseline="0"/>
            <a:t> most important limitation</a:t>
          </a:r>
        </a:p>
        <a:p>
          <a:r>
            <a:rPr lang="it-IT"/>
            <a:t>A point I critically addressed concerns the interpretation of the target variable. Previous_Injuries, according to the dataset documentation, is a "retrospective" indicator: it indicates whether the athlete has had injuries in the past, not whether they will have one in the current or future season. This means that </a:t>
          </a:r>
          <a:r>
            <a:rPr lang="it-IT" i="1"/>
            <a:t>p_i</a:t>
          </a:r>
          <a:r>
            <a:rPr lang="it-IT"/>
            <a:t> is not, strictly speaking, 'the probability of injury in the season' as required by the third objective of my original analysis. I chose to use it anyway as an indicator of future risk, relying on the fact — documented in sports literature — that a history of injuries is a recognized risk factor for subsequent injuries.</a:t>
          </a:r>
          <a:endParaRPr lang="it-IT" b="1" i="0"/>
        </a:p>
        <a:p>
          <a:r>
            <a:rPr lang="it-IT" b="1" i="0"/>
            <a:t>8. Conclusion</a:t>
          </a:r>
        </a:p>
        <a:p>
          <a:r>
            <a:rPr lang="it-IT"/>
            <a:t>In summary, my work demonstrates how, starting from a risk analysis problem, the choice of the statistical model must be guided by the actual nature of the available data — not by the initial hypothesis. I adapted the approach from a Poisson regression (designed for counts) to a logistic regression (for binary data), implementing the entire maximum likelihood estimation process in Excel via Solver, in a transparent and step-by-step verifiable way, and I critically interpreted the results in light of the dataset's actual limitations. The power of this model lies in its capacity for generalization: once the model has found the "ideal" coefficients that describe the past well, a new athlete (who perhaps has not yet had injuries) can be considered and their data entered into the model. If the model's output for this new athlete is, for example, </a:t>
          </a:r>
          <a:r>
            <a:rPr lang="it-IT" i="1"/>
            <a:t>p</a:t>
          </a:r>
          <a:r>
            <a:rPr lang="it-IT"/>
            <a:t> = 0.85, it means that their profile (height, weight, workload intensity) is statistically very similar to that of athletes who, in the past, have suffered injuries. The analysis of the raw residuals confirms what has been observed so far: the residuals are distributed in two distinct groups, around +0.5 (for athletes with Previous_Injuries = 1) and -0.5 (for those with Previous_Injuries = 0), reflecting the fact that the model assigns estimated probabilities close to 0.5 almost independently of the athlete's individual characteristics.</a:t>
          </a:r>
          <a:endParaRPr lang="it-IT" i="1"/>
        </a:p>
        <a:p>
          <a:endParaRPr lang="it-IT" sz="1100"/>
        </a:p>
      </xdr:txBody>
    </xdr:sp>
    <xdr:clientData/>
  </xdr:oneCellAnchor>
  <xdr:twoCellAnchor editAs="oneCell">
    <xdr:from>
      <xdr:col>6</xdr:col>
      <xdr:colOff>114300</xdr:colOff>
      <xdr:row>15</xdr:row>
      <xdr:rowOff>129540</xdr:rowOff>
    </xdr:from>
    <xdr:to>
      <xdr:col>16</xdr:col>
      <xdr:colOff>518</xdr:colOff>
      <xdr:row>17</xdr:row>
      <xdr:rowOff>121951</xdr:rowOff>
    </xdr:to>
    <xdr:pic>
      <xdr:nvPicPr>
        <xdr:cNvPr id="3" name="Immagine 2"/>
        <xdr:cNvPicPr>
          <a:picLocks noChangeAspect="1"/>
        </xdr:cNvPicPr>
      </xdr:nvPicPr>
      <xdr:blipFill>
        <a:blip xmlns:r="http://schemas.openxmlformats.org/officeDocument/2006/relationships" r:embed="rId1">
          <a:duotone>
            <a:schemeClr val="bg2">
              <a:shade val="45000"/>
              <a:satMod val="135000"/>
            </a:schemeClr>
            <a:prstClr val="white"/>
          </a:duotone>
        </a:blip>
        <a:stretch>
          <a:fillRect/>
        </a:stretch>
      </xdr:blipFill>
      <xdr:spPr>
        <a:xfrm>
          <a:off x="3771900" y="2872740"/>
          <a:ext cx="5982218" cy="358171"/>
        </a:xfrm>
        <a:prstGeom prst="rect">
          <a:avLst/>
        </a:prstGeom>
        <a:ln>
          <a:solidFill>
            <a:srgbClr val="FFFF00"/>
          </a:solidFill>
        </a:ln>
      </xdr:spPr>
    </xdr:pic>
    <xdr:clientData/>
  </xdr:twoCellAnchor>
  <xdr:twoCellAnchor editAs="oneCell">
    <xdr:from>
      <xdr:col>9</xdr:col>
      <xdr:colOff>22860</xdr:colOff>
      <xdr:row>32</xdr:row>
      <xdr:rowOff>106680</xdr:rowOff>
    </xdr:from>
    <xdr:to>
      <xdr:col>12</xdr:col>
      <xdr:colOff>419293</xdr:colOff>
      <xdr:row>35</xdr:row>
      <xdr:rowOff>53383</xdr:rowOff>
    </xdr:to>
    <xdr:pic>
      <xdr:nvPicPr>
        <xdr:cNvPr id="5" name="Immagine 4"/>
        <xdr:cNvPicPr>
          <a:picLocks noChangeAspect="1"/>
        </xdr:cNvPicPr>
      </xdr:nvPicPr>
      <xdr:blipFill>
        <a:blip xmlns:r="http://schemas.openxmlformats.org/officeDocument/2006/relationships" r:embed="rId2">
          <a:duotone>
            <a:schemeClr val="bg2">
              <a:shade val="45000"/>
              <a:satMod val="135000"/>
            </a:schemeClr>
            <a:prstClr val="white"/>
          </a:duotone>
        </a:blip>
        <a:stretch>
          <a:fillRect/>
        </a:stretch>
      </xdr:blipFill>
      <xdr:spPr>
        <a:xfrm>
          <a:off x="5509260" y="5958840"/>
          <a:ext cx="2225233" cy="495343"/>
        </a:xfrm>
        <a:prstGeom prst="rect">
          <a:avLst/>
        </a:prstGeom>
        <a:ln>
          <a:solidFill>
            <a:srgbClr val="FFFF00"/>
          </a:solidFill>
        </a:ln>
      </xdr:spPr>
    </xdr:pic>
    <xdr:clientData/>
  </xdr:twoCellAnchor>
  <xdr:twoCellAnchor editAs="oneCell">
    <xdr:from>
      <xdr:col>8</xdr:col>
      <xdr:colOff>317799</xdr:colOff>
      <xdr:row>37</xdr:row>
      <xdr:rowOff>101301</xdr:rowOff>
    </xdr:from>
    <xdr:to>
      <xdr:col>13</xdr:col>
      <xdr:colOff>142788</xdr:colOff>
      <xdr:row>39</xdr:row>
      <xdr:rowOff>93712</xdr:rowOff>
    </xdr:to>
    <xdr:pic>
      <xdr:nvPicPr>
        <xdr:cNvPr id="6" name="Immagine 5"/>
        <xdr:cNvPicPr>
          <a:picLocks noChangeAspect="1"/>
        </xdr:cNvPicPr>
      </xdr:nvPicPr>
      <xdr:blipFill>
        <a:blip xmlns:r="http://schemas.openxmlformats.org/officeDocument/2006/relationships" r:embed="rId3">
          <a:duotone>
            <a:schemeClr val="bg2">
              <a:shade val="45000"/>
              <a:satMod val="135000"/>
            </a:schemeClr>
            <a:prstClr val="white"/>
          </a:duotone>
        </a:blip>
        <a:stretch>
          <a:fillRect/>
        </a:stretch>
      </xdr:blipFill>
      <xdr:spPr>
        <a:xfrm>
          <a:off x="5194599" y="6867861"/>
          <a:ext cx="2872989" cy="358171"/>
        </a:xfrm>
        <a:prstGeom prst="rect">
          <a:avLst/>
        </a:prstGeom>
        <a:ln>
          <a:solidFill>
            <a:srgbClr val="FFFF00"/>
          </a:solidFill>
        </a:ln>
      </xdr:spPr>
    </xdr:pic>
    <xdr:clientData/>
  </xdr:twoCellAnchor>
  <xdr:twoCellAnchor editAs="oneCell">
    <xdr:from>
      <xdr:col>9</xdr:col>
      <xdr:colOff>76200</xdr:colOff>
      <xdr:row>20</xdr:row>
      <xdr:rowOff>22860</xdr:rowOff>
    </xdr:from>
    <xdr:to>
      <xdr:col>12</xdr:col>
      <xdr:colOff>114462</xdr:colOff>
      <xdr:row>23</xdr:row>
      <xdr:rowOff>22908</xdr:rowOff>
    </xdr:to>
    <xdr:pic>
      <xdr:nvPicPr>
        <xdr:cNvPr id="4" name="Immagine 3"/>
        <xdr:cNvPicPr>
          <a:picLocks noChangeAspect="1"/>
        </xdr:cNvPicPr>
      </xdr:nvPicPr>
      <xdr:blipFill>
        <a:blip xmlns:r="http://schemas.openxmlformats.org/officeDocument/2006/relationships" r:embed="rId4">
          <a:duotone>
            <a:schemeClr val="bg2">
              <a:shade val="45000"/>
              <a:satMod val="135000"/>
            </a:schemeClr>
            <a:prstClr val="white"/>
          </a:duotone>
        </a:blip>
        <a:stretch>
          <a:fillRect/>
        </a:stretch>
      </xdr:blipFill>
      <xdr:spPr>
        <a:xfrm>
          <a:off x="5562600" y="3680460"/>
          <a:ext cx="1867062" cy="548688"/>
        </a:xfrm>
        <a:prstGeom prst="rect">
          <a:avLst/>
        </a:prstGeom>
        <a:ln>
          <a:solidFill>
            <a:srgbClr val="FFFF00"/>
          </a:solidFill>
        </a:ln>
      </xdr:spPr>
    </xdr:pic>
    <xdr:clientData/>
  </xdr:twoCellAnchor>
  <xdr:twoCellAnchor editAs="oneCell">
    <xdr:from>
      <xdr:col>6</xdr:col>
      <xdr:colOff>121921</xdr:colOff>
      <xdr:row>15</xdr:row>
      <xdr:rowOff>137160</xdr:rowOff>
    </xdr:from>
    <xdr:to>
      <xdr:col>15</xdr:col>
      <xdr:colOff>601981</xdr:colOff>
      <xdr:row>17</xdr:row>
      <xdr:rowOff>114300</xdr:rowOff>
    </xdr:to>
    <xdr:pic>
      <xdr:nvPicPr>
        <xdr:cNvPr id="7" name="Immagine 6"/>
        <xdr:cNvPicPr>
          <a:picLocks noChangeAspect="1"/>
        </xdr:cNvPicPr>
      </xdr:nvPicPr>
      <xdr:blipFill>
        <a:blip xmlns:r="http://schemas.openxmlformats.org/officeDocument/2006/relationships" r:embed="rId5"/>
        <a:stretch>
          <a:fillRect/>
        </a:stretch>
      </xdr:blipFill>
      <xdr:spPr>
        <a:xfrm>
          <a:off x="3779521" y="2880360"/>
          <a:ext cx="5966460"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V6" sqref="V6"/>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04"/>
  <sheetViews>
    <sheetView tabSelected="1" zoomScaleNormal="100" workbookViewId="0">
      <pane xSplit="2" ySplit="4" topLeftCell="C5" activePane="bottomRight" state="frozen"/>
      <selection pane="topRight" activeCell="C1" sqref="C1"/>
      <selection pane="bottomLeft" activeCell="A5" sqref="A5"/>
      <selection pane="bottomRight" activeCell="A2" sqref="A2"/>
    </sheetView>
  </sheetViews>
  <sheetFormatPr defaultColWidth="8.6640625" defaultRowHeight="14.4" x14ac:dyDescent="0.3"/>
  <cols>
    <col min="1" max="1" width="6" customWidth="1"/>
    <col min="2" max="2" width="21" bestFit="1" customWidth="1"/>
    <col min="3" max="4" width="8" customWidth="1"/>
    <col min="5" max="6" width="9" customWidth="1"/>
    <col min="7" max="7" width="10" customWidth="1"/>
    <col min="8" max="8" width="11.6640625" bestFit="1" customWidth="1"/>
    <col min="9" max="10" width="14.44140625" customWidth="1"/>
    <col min="11" max="11" width="10" customWidth="1"/>
    <col min="12" max="14" width="11" customWidth="1"/>
    <col min="15" max="15" width="13" customWidth="1"/>
    <col min="16" max="16" width="9" customWidth="1"/>
    <col min="17" max="18" width="10" customWidth="1"/>
    <col min="21" max="21" width="27.88671875" customWidth="1"/>
    <col min="22" max="22" width="17.44140625" customWidth="1"/>
    <col min="23" max="23" width="12" customWidth="1"/>
  </cols>
  <sheetData>
    <row r="1" spans="1:24" ht="17.399999999999999" x14ac:dyDescent="0.3">
      <c r="A1" s="5" t="s">
        <v>8</v>
      </c>
      <c r="B1" s="5"/>
      <c r="C1" s="5"/>
      <c r="D1" s="5"/>
      <c r="E1" s="5"/>
      <c r="F1" s="5"/>
      <c r="G1" s="5"/>
      <c r="H1" s="5"/>
      <c r="I1" s="5"/>
      <c r="J1" s="5"/>
    </row>
    <row r="2" spans="1:24" ht="15" thickBot="1" x14ac:dyDescent="0.35">
      <c r="A2" s="6" t="s">
        <v>36</v>
      </c>
      <c r="B2" s="6"/>
      <c r="C2" s="6"/>
      <c r="D2" s="6"/>
      <c r="E2" s="6"/>
      <c r="F2" s="6"/>
      <c r="G2" s="6"/>
      <c r="H2" s="6"/>
      <c r="I2" s="6"/>
      <c r="J2" s="6"/>
      <c r="U2" s="28" t="s">
        <v>21</v>
      </c>
      <c r="V2" s="28"/>
      <c r="W2" s="28"/>
    </row>
    <row r="3" spans="1:24" x14ac:dyDescent="0.3">
      <c r="U3" s="20" t="s">
        <v>22</v>
      </c>
      <c r="V3" s="21">
        <f>AVERAGE(C5:C1004)</f>
        <v>28.231000000000002</v>
      </c>
      <c r="W3" s="22">
        <f>STDEV(C5:C1004)</f>
        <v>6.5383781925940436</v>
      </c>
    </row>
    <row r="4" spans="1:24" ht="42" x14ac:dyDescent="0.3">
      <c r="A4" s="1" t="s">
        <v>0</v>
      </c>
      <c r="B4" s="1" t="s">
        <v>5</v>
      </c>
      <c r="C4" s="1" t="s">
        <v>9</v>
      </c>
      <c r="D4" s="1" t="s">
        <v>10</v>
      </c>
      <c r="E4" s="1" t="s">
        <v>11</v>
      </c>
      <c r="F4" s="1" t="s">
        <v>12</v>
      </c>
      <c r="G4" s="1" t="s">
        <v>13</v>
      </c>
      <c r="H4" s="1" t="s">
        <v>14</v>
      </c>
      <c r="I4" s="1" t="s">
        <v>15</v>
      </c>
      <c r="J4" s="1" t="s">
        <v>16</v>
      </c>
      <c r="K4" s="1" t="s">
        <v>17</v>
      </c>
      <c r="L4" s="1" t="s">
        <v>18</v>
      </c>
      <c r="M4" s="1" t="s">
        <v>19</v>
      </c>
      <c r="N4" s="1" t="s">
        <v>4</v>
      </c>
      <c r="O4" s="1" t="s">
        <v>20</v>
      </c>
      <c r="P4" s="1" t="s">
        <v>2</v>
      </c>
      <c r="Q4" s="1" t="s">
        <v>7</v>
      </c>
      <c r="R4" s="27" t="s">
        <v>6</v>
      </c>
      <c r="U4" s="15" t="s">
        <v>23</v>
      </c>
      <c r="V4" s="19">
        <f>AVERAGE(E5:E1004)</f>
        <v>74.794351199999838</v>
      </c>
      <c r="W4" s="23">
        <f>STDEV(E5:E1004)</f>
        <v>9.8926220548328452</v>
      </c>
    </row>
    <row r="5" spans="1:24" x14ac:dyDescent="0.3">
      <c r="A5" s="2">
        <v>1</v>
      </c>
      <c r="B5" s="2">
        <v>1</v>
      </c>
      <c r="C5" s="2">
        <v>24</v>
      </c>
      <c r="D5" s="2">
        <f>C5^2</f>
        <v>576</v>
      </c>
      <c r="E5" s="2">
        <v>66.251900000000006</v>
      </c>
      <c r="F5" s="2">
        <v>175.73240000000001</v>
      </c>
      <c r="G5" s="2">
        <v>0.45792899999999997</v>
      </c>
      <c r="H5" s="2">
        <v>5</v>
      </c>
      <c r="I5" s="3">
        <f t="shared" ref="I5:I68" si="0">(C5-$V$3)/$W$3</f>
        <v>-0.64710236627064699</v>
      </c>
      <c r="J5" s="3">
        <f t="shared" ref="J5:J68" si="1" xml:space="preserve"> (D5- $V$8)/$W$8</f>
        <v>-0.70803114790099997</v>
      </c>
      <c r="K5" s="3">
        <f t="shared" ref="K5:K68" si="2">(E5-$V$4)/$W$4</f>
        <v>-0.86351739232032887</v>
      </c>
      <c r="L5" s="3">
        <f t="shared" ref="L5:L68" si="3">(F5-$V$5)/$W$5</f>
        <v>-0.40636873030312948</v>
      </c>
      <c r="M5" s="3">
        <f t="shared" ref="M5:M68" si="4">(G5-$V$6)/$W$6</f>
        <v>-0.11394411948810206</v>
      </c>
      <c r="N5" s="3">
        <f t="shared" ref="N5:N68" si="5">(H5-$V$7)/$W$7</f>
        <v>0.90176998432814681</v>
      </c>
      <c r="O5" s="3">
        <f t="shared" ref="O5:O68" si="6">$V$11+$V$12*I5+$V$17*J5+$V$13*K5+$V$14*L5+$V$15*M5+$V$16*N5</f>
        <v>1.8722342092941081E-2</v>
      </c>
      <c r="P5" s="3">
        <f t="shared" ref="P5:P68" si="7">1/(1+EXP(-O5))</f>
        <v>0.50468044880574769</v>
      </c>
      <c r="Q5" s="3">
        <f t="shared" ref="Q5:Q68" si="8">B5*LN(P5)+(1-B5)*LN(1-P5)</f>
        <v>-0.68382982463523001</v>
      </c>
      <c r="R5" s="3">
        <f>B5-P5</f>
        <v>0.49531955119425231</v>
      </c>
      <c r="U5" s="15" t="s">
        <v>24</v>
      </c>
      <c r="V5" s="19">
        <f>AVERAGE(F5:F1004)</f>
        <v>179.7509479</v>
      </c>
      <c r="W5" s="23">
        <f>STDEV(F5:F1004)</f>
        <v>9.8889200874347889</v>
      </c>
      <c r="X5" s="4"/>
    </row>
    <row r="6" spans="1:24" x14ac:dyDescent="0.3">
      <c r="A6" s="2">
        <v>2</v>
      </c>
      <c r="B6" s="2">
        <v>0</v>
      </c>
      <c r="C6" s="2">
        <v>37</v>
      </c>
      <c r="D6" s="2">
        <f t="shared" ref="D6:D69" si="9">C6^2</f>
        <v>1369</v>
      </c>
      <c r="E6" s="2">
        <v>70.996300000000005</v>
      </c>
      <c r="F6" s="2">
        <v>174.58170000000001</v>
      </c>
      <c r="G6" s="2">
        <v>0.226522</v>
      </c>
      <c r="H6" s="2">
        <v>6</v>
      </c>
      <c r="I6" s="3">
        <f t="shared" si="0"/>
        <v>1.34115827223524</v>
      </c>
      <c r="J6" s="3">
        <f t="shared" si="1"/>
        <v>1.4211879948480377</v>
      </c>
      <c r="K6" s="3">
        <f t="shared" si="2"/>
        <v>-0.38392765628242814</v>
      </c>
      <c r="L6" s="3">
        <f t="shared" si="3"/>
        <v>-0.52273128453815865</v>
      </c>
      <c r="M6" s="3">
        <f t="shared" si="4"/>
        <v>-0.92253824488097536</v>
      </c>
      <c r="N6" s="3">
        <f t="shared" si="5"/>
        <v>1.4896252544247224</v>
      </c>
      <c r="O6" s="3">
        <f t="shared" si="6"/>
        <v>-4.3495342770734677E-2</v>
      </c>
      <c r="P6" s="3">
        <f t="shared" si="7"/>
        <v>0.48912787828389059</v>
      </c>
      <c r="Q6" s="3">
        <f t="shared" si="8"/>
        <v>-0.67163597114124607</v>
      </c>
      <c r="R6" s="3">
        <f t="shared" ref="R6:R69" si="10">B6-P6</f>
        <v>-0.48912787828389059</v>
      </c>
      <c r="U6" s="15" t="s">
        <v>25</v>
      </c>
      <c r="V6" s="19">
        <f>AVERAGE(G5:G1004)</f>
        <v>0.49053802599999968</v>
      </c>
      <c r="W6" s="23">
        <f>STDEV(G5:G1004)</f>
        <v>0.28618436955322396</v>
      </c>
    </row>
    <row r="7" spans="1:24" x14ac:dyDescent="0.3">
      <c r="A7" s="2">
        <v>3</v>
      </c>
      <c r="B7" s="2">
        <v>0</v>
      </c>
      <c r="C7" s="2">
        <v>32</v>
      </c>
      <c r="D7" s="2">
        <f t="shared" si="9"/>
        <v>1024</v>
      </c>
      <c r="E7" s="2">
        <v>80.093800000000002</v>
      </c>
      <c r="F7" s="2">
        <v>186.3296</v>
      </c>
      <c r="G7" s="2">
        <v>0.61397000000000002</v>
      </c>
      <c r="H7" s="2">
        <v>2</v>
      </c>
      <c r="I7" s="3">
        <f t="shared" si="0"/>
        <v>0.57644264204066809</v>
      </c>
      <c r="J7" s="3">
        <f t="shared" si="1"/>
        <v>0.49485684194965435</v>
      </c>
      <c r="K7" s="3">
        <f t="shared" si="2"/>
        <v>0.53569708522435899</v>
      </c>
      <c r="L7" s="3">
        <f t="shared" si="3"/>
        <v>0.66525485511396409</v>
      </c>
      <c r="M7" s="3">
        <f t="shared" si="4"/>
        <v>0.43130229017292543</v>
      </c>
      <c r="N7" s="3">
        <f t="shared" si="5"/>
        <v>-0.86179582596158</v>
      </c>
      <c r="O7" s="3">
        <f t="shared" si="6"/>
        <v>2.2119508498692056E-2</v>
      </c>
      <c r="P7" s="3">
        <f t="shared" si="7"/>
        <v>0.50552965166756481</v>
      </c>
      <c r="Q7" s="3">
        <f t="shared" si="8"/>
        <v>-0.7042680926445487</v>
      </c>
      <c r="R7" s="3">
        <f t="shared" si="10"/>
        <v>-0.50552965166756481</v>
      </c>
      <c r="U7" s="15" t="s">
        <v>1</v>
      </c>
      <c r="V7" s="19">
        <f>AVERAGE(H5:H1004)</f>
        <v>3.4660000000000002</v>
      </c>
      <c r="W7" s="23">
        <f>STDEV(H5:H1004)</f>
        <v>1.7010989794064708</v>
      </c>
    </row>
    <row r="8" spans="1:24" ht="15" thickBot="1" x14ac:dyDescent="0.35">
      <c r="A8" s="2">
        <v>4</v>
      </c>
      <c r="B8" s="2">
        <v>1</v>
      </c>
      <c r="C8" s="2">
        <v>28</v>
      </c>
      <c r="D8" s="2">
        <f t="shared" si="9"/>
        <v>784</v>
      </c>
      <c r="E8" s="2">
        <v>87.473299999999995</v>
      </c>
      <c r="F8" s="2">
        <v>175.5042</v>
      </c>
      <c r="G8" s="2">
        <v>0.25285800000000003</v>
      </c>
      <c r="H8" s="2">
        <v>4</v>
      </c>
      <c r="I8" s="3">
        <f t="shared" si="0"/>
        <v>-3.5329862114989473E-2</v>
      </c>
      <c r="J8" s="3">
        <f t="shared" si="1"/>
        <v>-0.14954743832748191</v>
      </c>
      <c r="K8" s="3">
        <f t="shared" si="2"/>
        <v>1.281657050044291</v>
      </c>
      <c r="L8" s="3">
        <f t="shared" si="3"/>
        <v>-0.42944506199378335</v>
      </c>
      <c r="M8" s="3">
        <f t="shared" si="4"/>
        <v>-0.83051365233906116</v>
      </c>
      <c r="N8" s="3">
        <f t="shared" si="5"/>
        <v>0.31391471423157125</v>
      </c>
      <c r="O8" s="3">
        <f t="shared" si="6"/>
        <v>0.12317448422999948</v>
      </c>
      <c r="P8" s="3">
        <f t="shared" si="7"/>
        <v>0.53075474675394818</v>
      </c>
      <c r="Q8" s="3">
        <f t="shared" si="8"/>
        <v>-0.63345523495511247</v>
      </c>
      <c r="R8" s="3">
        <f t="shared" si="10"/>
        <v>0.46924525324605182</v>
      </c>
      <c r="U8" s="24" t="s">
        <v>26</v>
      </c>
      <c r="V8" s="25">
        <f>AVERAGE(D5:D1004)</f>
        <v>839.697</v>
      </c>
      <c r="W8" s="26">
        <f>_xlfn.STDEV.S(D5:D1004)</f>
        <v>372.43700475854104</v>
      </c>
    </row>
    <row r="9" spans="1:24" x14ac:dyDescent="0.3">
      <c r="A9" s="2">
        <v>5</v>
      </c>
      <c r="B9" s="2">
        <v>0</v>
      </c>
      <c r="C9" s="2">
        <v>25</v>
      </c>
      <c r="D9" s="2">
        <f t="shared" si="9"/>
        <v>625</v>
      </c>
      <c r="E9" s="2">
        <v>84.659199999999998</v>
      </c>
      <c r="F9" s="2">
        <v>190.17500000000001</v>
      </c>
      <c r="G9" s="2">
        <v>0.57763200000000003</v>
      </c>
      <c r="H9" s="2">
        <v>1</v>
      </c>
      <c r="I9" s="3">
        <f t="shared" si="0"/>
        <v>-0.49415924023173263</v>
      </c>
      <c r="J9" s="3">
        <f t="shared" si="1"/>
        <v>-0.57646527401108472</v>
      </c>
      <c r="K9" s="3">
        <f t="shared" si="2"/>
        <v>0.99719252846426931</v>
      </c>
      <c r="L9" s="3">
        <f t="shared" si="3"/>
        <v>1.0541143024550457</v>
      </c>
      <c r="M9" s="3">
        <f t="shared" si="4"/>
        <v>0.30432819981037712</v>
      </c>
      <c r="N9" s="3">
        <f t="shared" si="5"/>
        <v>-1.4496510960581555</v>
      </c>
      <c r="O9" s="3">
        <f t="shared" si="6"/>
        <v>0.1678096016492121</v>
      </c>
      <c r="P9" s="3">
        <f t="shared" si="7"/>
        <v>0.54185422833840435</v>
      </c>
      <c r="Q9" s="3">
        <f t="shared" si="8"/>
        <v>-0.78056786677077616</v>
      </c>
      <c r="R9" s="3">
        <f t="shared" si="10"/>
        <v>-0.54185422833840435</v>
      </c>
    </row>
    <row r="10" spans="1:24" ht="15" thickBot="1" x14ac:dyDescent="0.35">
      <c r="A10" s="2">
        <v>6</v>
      </c>
      <c r="B10" s="2">
        <v>1</v>
      </c>
      <c r="C10" s="2">
        <v>38</v>
      </c>
      <c r="D10" s="2">
        <f t="shared" si="9"/>
        <v>1444</v>
      </c>
      <c r="E10" s="2">
        <v>75.820499999999996</v>
      </c>
      <c r="F10" s="2">
        <v>206.6318</v>
      </c>
      <c r="G10" s="2">
        <v>0.359209</v>
      </c>
      <c r="H10" s="2">
        <v>4</v>
      </c>
      <c r="I10" s="3">
        <f t="shared" si="0"/>
        <v>1.4941013982741542</v>
      </c>
      <c r="J10" s="3">
        <f t="shared" si="1"/>
        <v>1.6225643324346428</v>
      </c>
      <c r="K10" s="3">
        <f t="shared" si="2"/>
        <v>0.10372869743859799</v>
      </c>
      <c r="L10" s="3">
        <f t="shared" si="3"/>
        <v>2.7182798386808442</v>
      </c>
      <c r="M10" s="3">
        <f t="shared" si="4"/>
        <v>-0.45889657148300472</v>
      </c>
      <c r="N10" s="3">
        <f t="shared" si="5"/>
        <v>0.31391471423157125</v>
      </c>
      <c r="O10" s="3">
        <f t="shared" si="6"/>
        <v>6.6155305740208892E-2</v>
      </c>
      <c r="P10" s="3">
        <f t="shared" si="7"/>
        <v>0.51653279719219114</v>
      </c>
      <c r="Q10" s="3">
        <f t="shared" si="8"/>
        <v>-0.66061649351839336</v>
      </c>
      <c r="R10" s="3">
        <f t="shared" si="10"/>
        <v>0.48346720280780886</v>
      </c>
      <c r="U10" s="28" t="s">
        <v>27</v>
      </c>
      <c r="V10" s="28"/>
    </row>
    <row r="11" spans="1:24" x14ac:dyDescent="0.3">
      <c r="A11" s="2">
        <v>7</v>
      </c>
      <c r="B11" s="2">
        <v>0</v>
      </c>
      <c r="C11" s="2">
        <v>24</v>
      </c>
      <c r="D11" s="2">
        <f t="shared" si="9"/>
        <v>576</v>
      </c>
      <c r="E11" s="2">
        <v>70.126000000000005</v>
      </c>
      <c r="F11" s="2">
        <v>177.0446</v>
      </c>
      <c r="G11" s="2">
        <v>0.82355199999999995</v>
      </c>
      <c r="H11" s="2">
        <v>2</v>
      </c>
      <c r="I11" s="3">
        <f t="shared" si="0"/>
        <v>-0.64710236627064699</v>
      </c>
      <c r="J11" s="3">
        <f t="shared" si="1"/>
        <v>-0.70803114790099997</v>
      </c>
      <c r="K11" s="3">
        <f t="shared" si="2"/>
        <v>-0.47190231003712529</v>
      </c>
      <c r="L11" s="3">
        <f t="shared" si="3"/>
        <v>-0.27367476691805592</v>
      </c>
      <c r="M11" s="3">
        <f t="shared" si="4"/>
        <v>1.163634388977582</v>
      </c>
      <c r="N11" s="3">
        <f t="shared" si="5"/>
        <v>-0.86179582596158</v>
      </c>
      <c r="O11" s="3">
        <f t="shared" si="6"/>
        <v>1.7766313880681901E-2</v>
      </c>
      <c r="P11" s="3">
        <f t="shared" si="7"/>
        <v>0.50444146164483239</v>
      </c>
      <c r="Q11" s="3">
        <f t="shared" si="8"/>
        <v>-0.70206979222000521</v>
      </c>
      <c r="R11" s="3">
        <f t="shared" si="10"/>
        <v>-0.50444146164483239</v>
      </c>
      <c r="U11" s="13" t="s">
        <v>28</v>
      </c>
      <c r="V11" s="14">
        <v>6.032128106106005E-2</v>
      </c>
    </row>
    <row r="12" spans="1:24" x14ac:dyDescent="0.3">
      <c r="A12" s="2">
        <v>8</v>
      </c>
      <c r="B12" s="2">
        <v>1</v>
      </c>
      <c r="C12" s="2">
        <v>36</v>
      </c>
      <c r="D12" s="2">
        <f t="shared" si="9"/>
        <v>1296</v>
      </c>
      <c r="E12" s="2">
        <v>79.038200000000003</v>
      </c>
      <c r="F12" s="2">
        <v>181.5232</v>
      </c>
      <c r="G12" s="2">
        <v>0.82069599999999998</v>
      </c>
      <c r="H12" s="2">
        <v>3</v>
      </c>
      <c r="I12" s="3">
        <f t="shared" si="0"/>
        <v>1.1882151461963255</v>
      </c>
      <c r="J12" s="3">
        <f t="shared" si="1"/>
        <v>1.2251816929304087</v>
      </c>
      <c r="K12" s="3">
        <f t="shared" si="2"/>
        <v>0.42899130043353034</v>
      </c>
      <c r="L12" s="3">
        <f t="shared" si="3"/>
        <v>0.1792159390843788</v>
      </c>
      <c r="M12" s="3">
        <f t="shared" si="4"/>
        <v>1.1536548083161411</v>
      </c>
      <c r="N12" s="3">
        <f t="shared" si="5"/>
        <v>-0.27394055586500432</v>
      </c>
      <c r="O12" s="3">
        <f t="shared" si="6"/>
        <v>-4.1321577696753861E-2</v>
      </c>
      <c r="P12" s="3">
        <f t="shared" si="7"/>
        <v>0.48967107523048253</v>
      </c>
      <c r="Q12" s="3">
        <f t="shared" si="8"/>
        <v>-0.71402138832326445</v>
      </c>
      <c r="R12" s="3">
        <f t="shared" si="10"/>
        <v>0.51032892476951752</v>
      </c>
      <c r="U12" s="15" t="s">
        <v>29</v>
      </c>
      <c r="V12" s="16">
        <v>-0.48279128440592245</v>
      </c>
    </row>
    <row r="13" spans="1:24" x14ac:dyDescent="0.3">
      <c r="A13" s="2">
        <v>9</v>
      </c>
      <c r="B13" s="2">
        <v>1</v>
      </c>
      <c r="C13" s="2">
        <v>28</v>
      </c>
      <c r="D13" s="2">
        <f t="shared" si="9"/>
        <v>784</v>
      </c>
      <c r="E13" s="2">
        <v>64.086100000000002</v>
      </c>
      <c r="F13" s="2">
        <v>183.79480000000001</v>
      </c>
      <c r="G13" s="2">
        <v>0.47735</v>
      </c>
      <c r="H13" s="2">
        <v>1</v>
      </c>
      <c r="I13" s="3">
        <f t="shared" si="0"/>
        <v>-3.5329862114989473E-2</v>
      </c>
      <c r="J13" s="3">
        <f t="shared" si="1"/>
        <v>-0.14954743832748191</v>
      </c>
      <c r="K13" s="3">
        <f t="shared" si="2"/>
        <v>-1.082448226632547</v>
      </c>
      <c r="L13" s="3">
        <f t="shared" si="3"/>
        <v>0.40892757391560586</v>
      </c>
      <c r="M13" s="3">
        <f t="shared" si="4"/>
        <v>-4.6082272140117717E-2</v>
      </c>
      <c r="N13" s="3">
        <f t="shared" si="5"/>
        <v>-1.4496510960581555</v>
      </c>
      <c r="O13" s="3">
        <f t="shared" si="6"/>
        <v>-2.1127918393576382E-2</v>
      </c>
      <c r="P13" s="3">
        <f t="shared" si="7"/>
        <v>0.49471821687760636</v>
      </c>
      <c r="Q13" s="3">
        <f t="shared" si="8"/>
        <v>-0.70376693733589157</v>
      </c>
      <c r="R13" s="3">
        <f t="shared" si="10"/>
        <v>0.50528178312239369</v>
      </c>
      <c r="U13" s="15" t="s">
        <v>30</v>
      </c>
      <c r="V13" s="16">
        <v>6.5558875495420083E-2</v>
      </c>
    </row>
    <row r="14" spans="1:24" x14ac:dyDescent="0.3">
      <c r="A14" s="2">
        <v>10</v>
      </c>
      <c r="B14" s="2">
        <v>1</v>
      </c>
      <c r="C14" s="2">
        <v>28</v>
      </c>
      <c r="D14" s="2">
        <f t="shared" si="9"/>
        <v>784</v>
      </c>
      <c r="E14" s="2">
        <v>66.83</v>
      </c>
      <c r="F14" s="2">
        <v>198.11500000000001</v>
      </c>
      <c r="G14" s="2">
        <v>0.35081899999999999</v>
      </c>
      <c r="H14" s="2">
        <v>1</v>
      </c>
      <c r="I14" s="3">
        <f t="shared" si="0"/>
        <v>-3.5329862114989473E-2</v>
      </c>
      <c r="J14" s="3">
        <f t="shared" si="1"/>
        <v>-0.14954743832748191</v>
      </c>
      <c r="K14" s="3">
        <f t="shared" si="2"/>
        <v>-0.80507990256324535</v>
      </c>
      <c r="L14" s="3">
        <f t="shared" si="3"/>
        <v>1.8570331176337467</v>
      </c>
      <c r="M14" s="3">
        <f t="shared" si="4"/>
        <v>-0.48821333680145323</v>
      </c>
      <c r="N14" s="3">
        <f t="shared" si="5"/>
        <v>-1.4496510960581555</v>
      </c>
      <c r="O14" s="3">
        <f t="shared" si="6"/>
        <v>4.941171768896805E-2</v>
      </c>
      <c r="P14" s="3">
        <f t="shared" si="7"/>
        <v>0.5123504167109213</v>
      </c>
      <c r="Q14" s="3">
        <f t="shared" si="8"/>
        <v>-0.66874648040421181</v>
      </c>
      <c r="R14" s="3">
        <f t="shared" si="10"/>
        <v>0.4876495832890787</v>
      </c>
      <c r="U14" s="15" t="s">
        <v>31</v>
      </c>
      <c r="V14" s="16">
        <v>2.3178490378625665E-2</v>
      </c>
    </row>
    <row r="15" spans="1:24" x14ac:dyDescent="0.3">
      <c r="A15" s="2">
        <v>11</v>
      </c>
      <c r="B15" s="2">
        <v>0</v>
      </c>
      <c r="C15" s="2">
        <v>38</v>
      </c>
      <c r="D15" s="2">
        <f t="shared" si="9"/>
        <v>1444</v>
      </c>
      <c r="E15" s="2">
        <v>90.097700000000003</v>
      </c>
      <c r="F15" s="2">
        <v>179.17349999999999</v>
      </c>
      <c r="G15" s="2">
        <v>0.36255999999999999</v>
      </c>
      <c r="H15" s="2">
        <v>3</v>
      </c>
      <c r="I15" s="3">
        <f t="shared" si="0"/>
        <v>1.4941013982741542</v>
      </c>
      <c r="J15" s="3">
        <f t="shared" si="1"/>
        <v>1.6225643324346428</v>
      </c>
      <c r="K15" s="3">
        <f t="shared" si="2"/>
        <v>1.5469456646758295</v>
      </c>
      <c r="L15" s="3">
        <f t="shared" si="3"/>
        <v>-5.839342363922382E-2</v>
      </c>
      <c r="M15" s="3">
        <f t="shared" si="4"/>
        <v>-0.44718733661028476</v>
      </c>
      <c r="N15" s="3">
        <f t="shared" si="5"/>
        <v>-0.27394055586500432</v>
      </c>
      <c r="O15" s="3">
        <f t="shared" si="6"/>
        <v>0.10411163634640477</v>
      </c>
      <c r="P15" s="3">
        <f t="shared" si="7"/>
        <v>0.52600442432807615</v>
      </c>
      <c r="Q15" s="3">
        <f t="shared" si="8"/>
        <v>-0.74655729135609994</v>
      </c>
      <c r="R15" s="3">
        <f t="shared" si="10"/>
        <v>-0.52600442432807615</v>
      </c>
      <c r="U15" s="15" t="s">
        <v>32</v>
      </c>
      <c r="V15" s="16">
        <v>-4.2500474967982052E-2</v>
      </c>
    </row>
    <row r="16" spans="1:24" x14ac:dyDescent="0.3">
      <c r="A16" s="2">
        <v>12</v>
      </c>
      <c r="B16" s="2">
        <v>0</v>
      </c>
      <c r="C16" s="2">
        <v>21</v>
      </c>
      <c r="D16" s="2">
        <f t="shared" si="9"/>
        <v>441</v>
      </c>
      <c r="E16" s="2">
        <v>79.020300000000006</v>
      </c>
      <c r="F16" s="2">
        <v>171.7098</v>
      </c>
      <c r="G16" s="2">
        <v>0.80571499999999996</v>
      </c>
      <c r="H16" s="2">
        <v>4</v>
      </c>
      <c r="I16" s="3">
        <f t="shared" si="0"/>
        <v>-1.1059317443873902</v>
      </c>
      <c r="J16" s="3">
        <f t="shared" si="1"/>
        <v>-1.0705085555568892</v>
      </c>
      <c r="K16" s="3">
        <f t="shared" si="2"/>
        <v>0.42718187115373163</v>
      </c>
      <c r="L16" s="3">
        <f t="shared" si="3"/>
        <v>-0.81314722223484903</v>
      </c>
      <c r="M16" s="3">
        <f t="shared" si="4"/>
        <v>1.1013074351056911</v>
      </c>
      <c r="N16" s="3">
        <f t="shared" si="5"/>
        <v>0.31391471423157125</v>
      </c>
      <c r="O16" s="3">
        <f t="shared" si="6"/>
        <v>0.12850273984494831</v>
      </c>
      <c r="P16" s="3">
        <f t="shared" si="7"/>
        <v>0.53208155034220472</v>
      </c>
      <c r="Q16" s="3">
        <f t="shared" si="8"/>
        <v>-0.75946125111624407</v>
      </c>
      <c r="R16" s="3">
        <f t="shared" si="10"/>
        <v>-0.53208155034220472</v>
      </c>
      <c r="U16" s="15" t="s">
        <v>3</v>
      </c>
      <c r="V16" s="16">
        <v>-1.3944574615688699E-2</v>
      </c>
    </row>
    <row r="17" spans="1:22" ht="15" thickBot="1" x14ac:dyDescent="0.35">
      <c r="A17" s="2">
        <v>13</v>
      </c>
      <c r="B17" s="2">
        <v>1</v>
      </c>
      <c r="C17" s="2">
        <v>25</v>
      </c>
      <c r="D17" s="2">
        <f t="shared" si="9"/>
        <v>625</v>
      </c>
      <c r="E17" s="2">
        <v>71.524699999999996</v>
      </c>
      <c r="F17" s="2">
        <v>167.3366</v>
      </c>
      <c r="G17" s="2">
        <v>0.328179</v>
      </c>
      <c r="H17" s="2">
        <v>5</v>
      </c>
      <c r="I17" s="3">
        <f t="shared" si="0"/>
        <v>-0.49415924023173263</v>
      </c>
      <c r="J17" s="3">
        <f t="shared" si="1"/>
        <v>-0.57646527401108472</v>
      </c>
      <c r="K17" s="3">
        <f t="shared" si="2"/>
        <v>-0.33051411262623931</v>
      </c>
      <c r="L17" s="3">
        <f t="shared" si="3"/>
        <v>-1.2553795348972538</v>
      </c>
      <c r="M17" s="3">
        <f t="shared" si="4"/>
        <v>-0.56732317789914977</v>
      </c>
      <c r="N17" s="3">
        <f t="shared" si="5"/>
        <v>0.90176998432814681</v>
      </c>
      <c r="O17" s="3">
        <f t="shared" si="6"/>
        <v>3.1492097433752197E-2</v>
      </c>
      <c r="P17" s="3">
        <f t="shared" si="7"/>
        <v>0.50787237374885941</v>
      </c>
      <c r="Q17" s="3">
        <f t="shared" si="8"/>
        <v>-0.67752509574573205</v>
      </c>
      <c r="R17" s="3">
        <f t="shared" si="10"/>
        <v>0.49212762625114059</v>
      </c>
      <c r="U17" s="17" t="s">
        <v>33</v>
      </c>
      <c r="V17" s="18">
        <v>0.39581868651046864</v>
      </c>
    </row>
    <row r="18" spans="1:22" x14ac:dyDescent="0.3">
      <c r="A18" s="2">
        <v>14</v>
      </c>
      <c r="B18" s="2">
        <v>0</v>
      </c>
      <c r="C18" s="2">
        <v>20</v>
      </c>
      <c r="D18" s="2">
        <f t="shared" si="9"/>
        <v>400</v>
      </c>
      <c r="E18" s="2">
        <v>83.291399999999996</v>
      </c>
      <c r="F18" s="2">
        <v>179.42019999999999</v>
      </c>
      <c r="G18" s="2">
        <v>0.20905899999999999</v>
      </c>
      <c r="H18" s="2">
        <v>4</v>
      </c>
      <c r="I18" s="3">
        <f t="shared" si="0"/>
        <v>-1.2588748704263044</v>
      </c>
      <c r="J18" s="3">
        <f t="shared" si="1"/>
        <v>-1.1805942867708998</v>
      </c>
      <c r="K18" s="3">
        <f t="shared" si="2"/>
        <v>0.85892787098331458</v>
      </c>
      <c r="L18" s="3">
        <f t="shared" si="3"/>
        <v>-3.3446311333859974E-2</v>
      </c>
      <c r="M18" s="3">
        <f t="shared" si="4"/>
        <v>-0.98355834890434435</v>
      </c>
      <c r="N18" s="3">
        <f t="shared" si="5"/>
        <v>0.31391471423157125</v>
      </c>
      <c r="O18" s="3">
        <f t="shared" si="6"/>
        <v>0.29375321694857676</v>
      </c>
      <c r="P18" s="3">
        <f t="shared" si="7"/>
        <v>0.57291473328209275</v>
      </c>
      <c r="Q18" s="3">
        <f t="shared" si="8"/>
        <v>-0.85077159782452882</v>
      </c>
      <c r="R18" s="3">
        <f t="shared" si="10"/>
        <v>-0.57291473328209275</v>
      </c>
      <c r="U18" s="11"/>
      <c r="V18" s="12"/>
    </row>
    <row r="19" spans="1:22" ht="15" thickBot="1" x14ac:dyDescent="0.35">
      <c r="A19" s="2">
        <v>15</v>
      </c>
      <c r="B19" s="2">
        <v>1</v>
      </c>
      <c r="C19" s="2">
        <v>39</v>
      </c>
      <c r="D19" s="2">
        <f t="shared" si="9"/>
        <v>1521</v>
      </c>
      <c r="E19" s="2">
        <v>87.869699999999995</v>
      </c>
      <c r="F19" s="2">
        <v>175.5162</v>
      </c>
      <c r="G19" s="2">
        <v>8.4687999999999999E-2</v>
      </c>
      <c r="H19" s="2">
        <v>2</v>
      </c>
      <c r="I19" s="3">
        <f t="shared" si="0"/>
        <v>1.6470445243130687</v>
      </c>
      <c r="J19" s="3">
        <f t="shared" si="1"/>
        <v>1.829310705690224</v>
      </c>
      <c r="K19" s="3">
        <f t="shared" si="2"/>
        <v>1.3217273163298959</v>
      </c>
      <c r="L19" s="3">
        <f t="shared" si="3"/>
        <v>-0.42823158267613287</v>
      </c>
      <c r="M19" s="3">
        <f t="shared" si="4"/>
        <v>-1.4181418315528256</v>
      </c>
      <c r="N19" s="3">
        <f t="shared" si="5"/>
        <v>-0.86179582596158</v>
      </c>
      <c r="O19" s="3">
        <f t="shared" si="6"/>
        <v>0.13823217300290946</v>
      </c>
      <c r="P19" s="3">
        <f t="shared" si="7"/>
        <v>0.53450311988753496</v>
      </c>
      <c r="Q19" s="3">
        <f t="shared" si="8"/>
        <v>-0.62641771151342707</v>
      </c>
      <c r="R19" s="3">
        <f t="shared" si="10"/>
        <v>0.46549688011246504</v>
      </c>
      <c r="U19" s="28" t="s">
        <v>34</v>
      </c>
      <c r="V19" s="28"/>
    </row>
    <row r="20" spans="1:22" ht="15" thickBot="1" x14ac:dyDescent="0.35">
      <c r="A20" s="2">
        <v>16</v>
      </c>
      <c r="B20" s="2">
        <v>1</v>
      </c>
      <c r="C20" s="2">
        <v>38</v>
      </c>
      <c r="D20" s="2">
        <f t="shared" si="9"/>
        <v>1444</v>
      </c>
      <c r="E20" s="2">
        <v>70.553600000000003</v>
      </c>
      <c r="F20" s="2">
        <v>200.1001</v>
      </c>
      <c r="G20" s="2">
        <v>0.46669300000000002</v>
      </c>
      <c r="H20" s="2">
        <v>6</v>
      </c>
      <c r="I20" s="3">
        <f t="shared" si="0"/>
        <v>1.4941013982741542</v>
      </c>
      <c r="J20" s="3">
        <f t="shared" si="1"/>
        <v>1.6225643324346428</v>
      </c>
      <c r="K20" s="3">
        <f t="shared" si="2"/>
        <v>-0.42867817819120052</v>
      </c>
      <c r="L20" s="3">
        <f t="shared" si="3"/>
        <v>2.057772933756068</v>
      </c>
      <c r="M20" s="3">
        <f t="shared" si="4"/>
        <v>-8.3320504321131389E-2</v>
      </c>
      <c r="N20" s="3">
        <f t="shared" si="5"/>
        <v>1.4896252544247224</v>
      </c>
      <c r="O20" s="3">
        <f t="shared" si="6"/>
        <v>-1.6415187868086826E-2</v>
      </c>
      <c r="P20" s="3">
        <f t="shared" si="7"/>
        <v>0.49589629518070649</v>
      </c>
      <c r="Q20" s="3">
        <f t="shared" si="8"/>
        <v>-0.70138845641492287</v>
      </c>
      <c r="R20" s="3">
        <f t="shared" si="10"/>
        <v>0.50410370481929356</v>
      </c>
      <c r="U20" s="7" t="s">
        <v>35</v>
      </c>
      <c r="V20" s="8">
        <f>SUM(Q5:Q1004)</f>
        <v>-690.64580109971257</v>
      </c>
    </row>
    <row r="21" spans="1:22" x14ac:dyDescent="0.3">
      <c r="A21" s="2">
        <v>17</v>
      </c>
      <c r="B21" s="2">
        <v>0</v>
      </c>
      <c r="C21" s="2">
        <v>19</v>
      </c>
      <c r="D21" s="2">
        <f t="shared" si="9"/>
        <v>361</v>
      </c>
      <c r="E21" s="2">
        <v>70.725899999999996</v>
      </c>
      <c r="F21" s="2">
        <v>197.6986</v>
      </c>
      <c r="G21" s="2">
        <v>0.48213200000000001</v>
      </c>
      <c r="H21" s="2">
        <v>5</v>
      </c>
      <c r="I21" s="3">
        <f t="shared" si="0"/>
        <v>-1.4118179964652189</v>
      </c>
      <c r="J21" s="3">
        <f t="shared" si="1"/>
        <v>-1.2853099823159346</v>
      </c>
      <c r="K21" s="3">
        <f t="shared" si="2"/>
        <v>-0.41126115780520295</v>
      </c>
      <c r="L21" s="3">
        <f t="shared" si="3"/>
        <v>1.8149253853112757</v>
      </c>
      <c r="M21" s="3">
        <f t="shared" si="4"/>
        <v>-2.9372764183881617E-2</v>
      </c>
      <c r="N21" s="3">
        <f t="shared" si="5"/>
        <v>0.90176998432814681</v>
      </c>
      <c r="O21" s="3">
        <f t="shared" si="6"/>
        <v>0.23696396509980477</v>
      </c>
      <c r="P21" s="3">
        <f t="shared" si="7"/>
        <v>0.55896533110239599</v>
      </c>
      <c r="Q21" s="3">
        <f t="shared" si="8"/>
        <v>-0.81863179234495043</v>
      </c>
      <c r="R21" s="3">
        <f t="shared" si="10"/>
        <v>-0.55896533110239599</v>
      </c>
    </row>
    <row r="22" spans="1:22" x14ac:dyDescent="0.3">
      <c r="A22" s="2">
        <v>18</v>
      </c>
      <c r="B22" s="2">
        <v>1</v>
      </c>
      <c r="C22" s="2">
        <v>29</v>
      </c>
      <c r="D22" s="2">
        <f t="shared" si="9"/>
        <v>841</v>
      </c>
      <c r="E22" s="2">
        <v>69.473500000000001</v>
      </c>
      <c r="F22" s="2">
        <v>169.65629999999999</v>
      </c>
      <c r="G22" s="2">
        <v>0.84090900000000002</v>
      </c>
      <c r="H22" s="2">
        <v>4</v>
      </c>
      <c r="I22" s="3">
        <f t="shared" si="0"/>
        <v>0.1176132639239249</v>
      </c>
      <c r="J22" s="3">
        <f t="shared" si="1"/>
        <v>3.4985782383379449E-3</v>
      </c>
      <c r="K22" s="3">
        <f t="shared" si="2"/>
        <v>-0.53786055613035777</v>
      </c>
      <c r="L22" s="3">
        <f t="shared" si="3"/>
        <v>-1.0208038704677802</v>
      </c>
      <c r="M22" s="3">
        <f t="shared" si="4"/>
        <v>1.2242841024021722</v>
      </c>
      <c r="N22" s="3">
        <f t="shared" si="5"/>
        <v>0.31391471423157125</v>
      </c>
      <c r="O22" s="3">
        <f t="shared" si="6"/>
        <v>-0.11040886397574683</v>
      </c>
      <c r="P22" s="3">
        <f t="shared" si="7"/>
        <v>0.47242578938843355</v>
      </c>
      <c r="Q22" s="3">
        <f t="shared" si="8"/>
        <v>-0.74987460387885252</v>
      </c>
      <c r="R22" s="3">
        <f t="shared" si="10"/>
        <v>0.5275742106115664</v>
      </c>
      <c r="U22" s="10"/>
      <c r="V22" s="9"/>
    </row>
    <row r="23" spans="1:22" x14ac:dyDescent="0.3">
      <c r="A23" s="2">
        <v>19</v>
      </c>
      <c r="B23" s="2">
        <v>0</v>
      </c>
      <c r="C23" s="2">
        <v>23</v>
      </c>
      <c r="D23" s="2">
        <f t="shared" si="9"/>
        <v>529</v>
      </c>
      <c r="E23" s="2">
        <v>84.638499999999993</v>
      </c>
      <c r="F23" s="2">
        <v>172.89240000000001</v>
      </c>
      <c r="G23" s="2">
        <v>0.22123899999999999</v>
      </c>
      <c r="H23" s="2">
        <v>6</v>
      </c>
      <c r="I23" s="3">
        <f t="shared" si="0"/>
        <v>-0.80004549230956135</v>
      </c>
      <c r="J23" s="3">
        <f t="shared" si="1"/>
        <v>-0.83422698612193913</v>
      </c>
      <c r="K23" s="3">
        <f t="shared" si="2"/>
        <v>0.99510005996751805</v>
      </c>
      <c r="L23" s="3">
        <f t="shared" si="3"/>
        <v>-0.69355883548039832</v>
      </c>
      <c r="M23" s="3">
        <f t="shared" si="4"/>
        <v>-0.94099837255408181</v>
      </c>
      <c r="N23" s="3">
        <f t="shared" si="5"/>
        <v>1.4896252544247224</v>
      </c>
      <c r="O23" s="3">
        <f t="shared" si="6"/>
        <v>0.18475632338759795</v>
      </c>
      <c r="P23" s="3">
        <f t="shared" si="7"/>
        <v>0.54605813949480342</v>
      </c>
      <c r="Q23" s="3">
        <f t="shared" si="8"/>
        <v>-0.78978614970248384</v>
      </c>
      <c r="R23" s="3">
        <f t="shared" si="10"/>
        <v>-0.54605813949480342</v>
      </c>
      <c r="U23" s="9"/>
      <c r="V23" s="9"/>
    </row>
    <row r="24" spans="1:22" x14ac:dyDescent="0.3">
      <c r="A24" s="2">
        <v>20</v>
      </c>
      <c r="B24" s="2">
        <v>1</v>
      </c>
      <c r="C24" s="2">
        <v>19</v>
      </c>
      <c r="D24" s="2">
        <f t="shared" si="9"/>
        <v>361</v>
      </c>
      <c r="E24" s="2">
        <v>84.735600000000005</v>
      </c>
      <c r="F24" s="2">
        <v>180.73769999999999</v>
      </c>
      <c r="G24" s="2">
        <v>0.38099100000000002</v>
      </c>
      <c r="H24" s="2">
        <v>6</v>
      </c>
      <c r="I24" s="3">
        <f t="shared" si="0"/>
        <v>-1.4118179964652189</v>
      </c>
      <c r="J24" s="3">
        <f t="shared" si="1"/>
        <v>-1.2853099823159346</v>
      </c>
      <c r="K24" s="3">
        <f t="shared" si="2"/>
        <v>1.0049154556696691</v>
      </c>
      <c r="L24" s="3">
        <f t="shared" si="3"/>
        <v>9.9783605416509713E-2</v>
      </c>
      <c r="M24" s="3">
        <f t="shared" si="4"/>
        <v>-0.38278479768485868</v>
      </c>
      <c r="N24" s="3">
        <f t="shared" si="5"/>
        <v>1.4896252544247224</v>
      </c>
      <c r="O24" s="3">
        <f t="shared" si="6"/>
        <v>0.29687530174496418</v>
      </c>
      <c r="P24" s="3">
        <f t="shared" si="7"/>
        <v>0.57367848125072418</v>
      </c>
      <c r="Q24" s="3">
        <f t="shared" si="8"/>
        <v>-0.55568617679187526</v>
      </c>
      <c r="R24" s="3">
        <f t="shared" si="10"/>
        <v>0.42632151874927582</v>
      </c>
      <c r="U24" s="9"/>
      <c r="V24" s="9"/>
    </row>
    <row r="25" spans="1:22" x14ac:dyDescent="0.3">
      <c r="A25" s="2">
        <v>21</v>
      </c>
      <c r="B25" s="2">
        <v>0</v>
      </c>
      <c r="C25" s="2">
        <v>38</v>
      </c>
      <c r="D25" s="2">
        <f t="shared" si="9"/>
        <v>1444</v>
      </c>
      <c r="E25" s="2">
        <v>88.858999999999995</v>
      </c>
      <c r="F25" s="2">
        <v>193.97229999999999</v>
      </c>
      <c r="G25" s="2">
        <v>0.80840599999999996</v>
      </c>
      <c r="H25" s="2">
        <v>3</v>
      </c>
      <c r="I25" s="3">
        <f t="shared" si="0"/>
        <v>1.4941013982741542</v>
      </c>
      <c r="J25" s="3">
        <f t="shared" si="1"/>
        <v>1.6225643324346428</v>
      </c>
      <c r="K25" s="3">
        <f t="shared" si="2"/>
        <v>1.4217311368050445</v>
      </c>
      <c r="L25" s="3">
        <f t="shared" si="3"/>
        <v>1.438109720197875</v>
      </c>
      <c r="M25" s="3">
        <f t="shared" si="4"/>
        <v>1.1107104643633721</v>
      </c>
      <c r="N25" s="3">
        <f t="shared" si="5"/>
        <v>-0.27394055586500432</v>
      </c>
      <c r="O25" s="3">
        <f t="shared" si="6"/>
        <v>6.4377999931562221E-2</v>
      </c>
      <c r="P25" s="3">
        <f t="shared" si="7"/>
        <v>0.51608894361175539</v>
      </c>
      <c r="Q25" s="3">
        <f t="shared" si="8"/>
        <v>-0.72585415694575817</v>
      </c>
      <c r="R25" s="3">
        <f t="shared" si="10"/>
        <v>-0.51608894361175539</v>
      </c>
      <c r="U25" s="9"/>
      <c r="V25" s="9"/>
    </row>
    <row r="26" spans="1:22" x14ac:dyDescent="0.3">
      <c r="A26" s="2">
        <v>22</v>
      </c>
      <c r="B26" s="2">
        <v>1</v>
      </c>
      <c r="C26" s="2">
        <v>18</v>
      </c>
      <c r="D26" s="2">
        <f t="shared" si="9"/>
        <v>324</v>
      </c>
      <c r="E26" s="2">
        <v>85.085999999999999</v>
      </c>
      <c r="F26" s="2">
        <v>180.5701</v>
      </c>
      <c r="G26" s="2">
        <v>0.82362400000000002</v>
      </c>
      <c r="H26" s="2">
        <v>2</v>
      </c>
      <c r="I26" s="3">
        <f t="shared" si="0"/>
        <v>-1.5647611225041334</v>
      </c>
      <c r="J26" s="3">
        <f t="shared" si="1"/>
        <v>-1.3846556421919931</v>
      </c>
      <c r="K26" s="3">
        <f t="shared" si="2"/>
        <v>1.0403357919624938</v>
      </c>
      <c r="L26" s="3">
        <f t="shared" si="3"/>
        <v>8.2835344279992743E-2</v>
      </c>
      <c r="M26" s="3">
        <f t="shared" si="4"/>
        <v>1.1638859750446773</v>
      </c>
      <c r="N26" s="3">
        <f t="shared" si="5"/>
        <v>-0.86179582596158</v>
      </c>
      <c r="O26" s="3">
        <f t="shared" si="6"/>
        <v>0.30037664796128027</v>
      </c>
      <c r="P26" s="3">
        <f t="shared" si="7"/>
        <v>0.57453458895371079</v>
      </c>
      <c r="Q26" s="3">
        <f t="shared" si="8"/>
        <v>-0.55419497644963123</v>
      </c>
      <c r="R26" s="3">
        <f t="shared" si="10"/>
        <v>0.42546541104628921</v>
      </c>
      <c r="U26" s="9"/>
      <c r="V26" s="9"/>
    </row>
    <row r="27" spans="1:22" x14ac:dyDescent="0.3">
      <c r="A27" s="2">
        <v>23</v>
      </c>
      <c r="B27" s="2">
        <v>1</v>
      </c>
      <c r="C27" s="2">
        <v>29</v>
      </c>
      <c r="D27" s="2">
        <f t="shared" si="9"/>
        <v>841</v>
      </c>
      <c r="E27" s="2">
        <v>58.677799999999998</v>
      </c>
      <c r="F27" s="2">
        <v>173.52760000000001</v>
      </c>
      <c r="G27" s="2">
        <v>0.38461099999999998</v>
      </c>
      <c r="H27" s="2">
        <v>2</v>
      </c>
      <c r="I27" s="3">
        <f t="shared" si="0"/>
        <v>0.1176132639239249</v>
      </c>
      <c r="J27" s="3">
        <f t="shared" si="1"/>
        <v>3.4985782383379449E-3</v>
      </c>
      <c r="K27" s="3">
        <f t="shared" si="2"/>
        <v>-1.6291485827184127</v>
      </c>
      <c r="L27" s="3">
        <f t="shared" si="3"/>
        <v>-0.62932533026610249</v>
      </c>
      <c r="M27" s="3">
        <f t="shared" si="4"/>
        <v>-0.37013560931146389</v>
      </c>
      <c r="N27" s="3">
        <f t="shared" si="5"/>
        <v>-0.86179582596158</v>
      </c>
      <c r="O27" s="3">
        <f t="shared" si="6"/>
        <v>-8.8720219862655186E-2</v>
      </c>
      <c r="P27" s="3">
        <f t="shared" si="7"/>
        <v>0.47783448237217313</v>
      </c>
      <c r="Q27" s="3">
        <f t="shared" si="8"/>
        <v>-0.73849087764431454</v>
      </c>
      <c r="R27" s="3">
        <f t="shared" si="10"/>
        <v>0.52216551762782681</v>
      </c>
      <c r="U27" s="9"/>
      <c r="V27" s="9"/>
    </row>
    <row r="28" spans="1:22" x14ac:dyDescent="0.3">
      <c r="A28" s="2">
        <v>24</v>
      </c>
      <c r="B28" s="2">
        <v>0</v>
      </c>
      <c r="C28" s="2">
        <v>39</v>
      </c>
      <c r="D28" s="2">
        <f t="shared" si="9"/>
        <v>1521</v>
      </c>
      <c r="E28" s="2">
        <v>77.809600000000003</v>
      </c>
      <c r="F28" s="2">
        <v>179.41120000000001</v>
      </c>
      <c r="G28" s="2">
        <v>0.45912399999999998</v>
      </c>
      <c r="H28" s="2">
        <v>2</v>
      </c>
      <c r="I28" s="3">
        <f t="shared" si="0"/>
        <v>1.6470445243130687</v>
      </c>
      <c r="J28" s="3">
        <f t="shared" si="1"/>
        <v>1.829310705690224</v>
      </c>
      <c r="K28" s="3">
        <f t="shared" si="2"/>
        <v>0.3047977354524653</v>
      </c>
      <c r="L28" s="3">
        <f t="shared" si="3"/>
        <v>-3.4356420822096397E-2</v>
      </c>
      <c r="M28" s="3">
        <f t="shared" si="4"/>
        <v>-0.10976848962450897</v>
      </c>
      <c r="N28" s="3">
        <f t="shared" si="5"/>
        <v>-0.86179582596158</v>
      </c>
      <c r="O28" s="3">
        <f t="shared" si="6"/>
        <v>2.5086356404570236E-2</v>
      </c>
      <c r="P28" s="3">
        <f t="shared" si="7"/>
        <v>0.50627126021604407</v>
      </c>
      <c r="Q28" s="3">
        <f t="shared" si="8"/>
        <v>-0.70576902235926209</v>
      </c>
      <c r="R28" s="3">
        <f t="shared" si="10"/>
        <v>-0.50627126021604407</v>
      </c>
      <c r="V28" s="10"/>
    </row>
    <row r="29" spans="1:22" x14ac:dyDescent="0.3">
      <c r="A29" s="2">
        <v>25</v>
      </c>
      <c r="B29" s="2">
        <v>1</v>
      </c>
      <c r="C29" s="2">
        <v>29</v>
      </c>
      <c r="D29" s="2">
        <f t="shared" si="9"/>
        <v>841</v>
      </c>
      <c r="E29" s="2">
        <v>64.4161</v>
      </c>
      <c r="F29" s="2">
        <v>173.71520000000001</v>
      </c>
      <c r="G29" s="2">
        <v>0.303286</v>
      </c>
      <c r="H29" s="2">
        <v>5</v>
      </c>
      <c r="I29" s="3">
        <f t="shared" si="0"/>
        <v>0.1176132639239249</v>
      </c>
      <c r="J29" s="3">
        <f t="shared" si="1"/>
        <v>3.4985782383379449E-3</v>
      </c>
      <c r="K29" s="3">
        <f t="shared" si="2"/>
        <v>-1.0490900332060848</v>
      </c>
      <c r="L29" s="3">
        <f t="shared" si="3"/>
        <v>-0.61035460360016702</v>
      </c>
      <c r="M29" s="3">
        <f t="shared" si="4"/>
        <v>-0.65430556634636527</v>
      </c>
      <c r="N29" s="3">
        <f t="shared" si="5"/>
        <v>0.90176998432814681</v>
      </c>
      <c r="O29" s="3">
        <f t="shared" si="6"/>
        <v>-6.2767337715268823E-2</v>
      </c>
      <c r="P29" s="3">
        <f t="shared" si="7"/>
        <v>0.48431331535290623</v>
      </c>
      <c r="Q29" s="3">
        <f t="shared" si="8"/>
        <v>-0.72502323593293028</v>
      </c>
      <c r="R29" s="3">
        <f t="shared" si="10"/>
        <v>0.51568668464709377</v>
      </c>
      <c r="U29" s="4"/>
      <c r="V29" s="4"/>
    </row>
    <row r="30" spans="1:22" x14ac:dyDescent="0.3">
      <c r="A30" s="2">
        <v>26</v>
      </c>
      <c r="B30" s="2">
        <v>1</v>
      </c>
      <c r="C30" s="2">
        <v>34</v>
      </c>
      <c r="D30" s="2">
        <f t="shared" si="9"/>
        <v>1156</v>
      </c>
      <c r="E30" s="2">
        <v>69.870900000000006</v>
      </c>
      <c r="F30" s="2">
        <v>186.0248</v>
      </c>
      <c r="G30" s="2">
        <v>0.93255500000000002</v>
      </c>
      <c r="H30" s="2">
        <v>1</v>
      </c>
      <c r="I30" s="3">
        <f t="shared" si="0"/>
        <v>0.8823288941184968</v>
      </c>
      <c r="J30" s="3">
        <f t="shared" si="1"/>
        <v>0.84927919610207925</v>
      </c>
      <c r="K30" s="3">
        <f t="shared" si="2"/>
        <v>-0.49768920441012671</v>
      </c>
      <c r="L30" s="3">
        <f t="shared" si="3"/>
        <v>0.63443248044564315</v>
      </c>
      <c r="M30" s="3">
        <f t="shared" si="4"/>
        <v>1.5445182233049768</v>
      </c>
      <c r="N30" s="3">
        <f t="shared" si="5"/>
        <v>-1.4496510960581555</v>
      </c>
      <c r="O30" s="3">
        <f t="shared" si="6"/>
        <v>-9.2849590771983098E-2</v>
      </c>
      <c r="P30" s="3">
        <f t="shared" si="7"/>
        <v>0.47680426420618743</v>
      </c>
      <c r="Q30" s="3">
        <f t="shared" si="8"/>
        <v>-0.74064921988552868</v>
      </c>
      <c r="R30" s="3">
        <f t="shared" si="10"/>
        <v>0.52319573579381262</v>
      </c>
    </row>
    <row r="31" spans="1:22" x14ac:dyDescent="0.3">
      <c r="A31" s="2">
        <v>27</v>
      </c>
      <c r="B31" s="2">
        <v>0</v>
      </c>
      <c r="C31" s="2">
        <v>27</v>
      </c>
      <c r="D31" s="2">
        <f t="shared" si="9"/>
        <v>729</v>
      </c>
      <c r="E31" s="2">
        <v>76.7059</v>
      </c>
      <c r="F31" s="2">
        <v>172.90969999999999</v>
      </c>
      <c r="G31" s="2">
        <v>0.118644</v>
      </c>
      <c r="H31" s="2">
        <v>5</v>
      </c>
      <c r="I31" s="3">
        <f t="shared" si="0"/>
        <v>-0.18827298815390386</v>
      </c>
      <c r="J31" s="3">
        <f t="shared" si="1"/>
        <v>-0.29722341922432566</v>
      </c>
      <c r="K31" s="3">
        <f t="shared" si="2"/>
        <v>0.19322974125614276</v>
      </c>
      <c r="L31" s="3">
        <f t="shared" si="3"/>
        <v>-0.69180940279745451</v>
      </c>
      <c r="M31" s="3">
        <f t="shared" si="4"/>
        <v>-1.2994910469100081</v>
      </c>
      <c r="N31" s="3">
        <f t="shared" si="5"/>
        <v>0.90176998432814681</v>
      </c>
      <c r="O31" s="3">
        <f t="shared" si="6"/>
        <v>7.2858270273404802E-2</v>
      </c>
      <c r="P31" s="3">
        <f t="shared" si="7"/>
        <v>0.51820651443562549</v>
      </c>
      <c r="Q31" s="3">
        <f t="shared" si="8"/>
        <v>-0.73023970992977383</v>
      </c>
      <c r="R31" s="3">
        <f t="shared" si="10"/>
        <v>-0.51820651443562549</v>
      </c>
    </row>
    <row r="32" spans="1:22" x14ac:dyDescent="0.3">
      <c r="A32" s="2">
        <v>28</v>
      </c>
      <c r="B32" s="2">
        <v>1</v>
      </c>
      <c r="C32" s="2">
        <v>33</v>
      </c>
      <c r="D32" s="2">
        <f t="shared" si="9"/>
        <v>1089</v>
      </c>
      <c r="E32" s="2">
        <v>83.355699999999999</v>
      </c>
      <c r="F32" s="2">
        <v>174.8956</v>
      </c>
      <c r="G32" s="2">
        <v>0.93374900000000005</v>
      </c>
      <c r="H32" s="2">
        <v>4</v>
      </c>
      <c r="I32" s="3">
        <f t="shared" si="0"/>
        <v>0.72938576807958244</v>
      </c>
      <c r="J32" s="3">
        <f t="shared" si="1"/>
        <v>0.66938300119137872</v>
      </c>
      <c r="K32" s="3">
        <f t="shared" si="2"/>
        <v>0.86542766442974373</v>
      </c>
      <c r="L32" s="3">
        <f t="shared" si="3"/>
        <v>-0.4909886880539539</v>
      </c>
      <c r="M32" s="3">
        <f t="shared" si="4"/>
        <v>1.548690358917638</v>
      </c>
      <c r="N32" s="3">
        <f t="shared" si="5"/>
        <v>0.31391471423157125</v>
      </c>
      <c r="O32" s="3">
        <f t="shared" si="6"/>
        <v>-5.170690550080459E-2</v>
      </c>
      <c r="P32" s="3">
        <f t="shared" si="7"/>
        <v>0.48707615293401568</v>
      </c>
      <c r="Q32" s="3">
        <f t="shared" si="8"/>
        <v>-0.71933479659654731</v>
      </c>
      <c r="R32" s="3">
        <f t="shared" si="10"/>
        <v>0.51292384706598426</v>
      </c>
    </row>
    <row r="33" spans="1:18" x14ac:dyDescent="0.3">
      <c r="A33" s="2">
        <v>29</v>
      </c>
      <c r="B33" s="2">
        <v>0</v>
      </c>
      <c r="C33" s="2">
        <v>32</v>
      </c>
      <c r="D33" s="2">
        <f t="shared" si="9"/>
        <v>1024</v>
      </c>
      <c r="E33" s="2">
        <v>66.0916</v>
      </c>
      <c r="F33" s="2">
        <v>191.61930000000001</v>
      </c>
      <c r="G33" s="2">
        <v>0.68386599999999997</v>
      </c>
      <c r="H33" s="2">
        <v>6</v>
      </c>
      <c r="I33" s="3">
        <f t="shared" si="0"/>
        <v>0.57644264204066809</v>
      </c>
      <c r="J33" s="3">
        <f t="shared" si="1"/>
        <v>0.49485684194965435</v>
      </c>
      <c r="K33" s="3">
        <f t="shared" si="2"/>
        <v>-0.87972138749082007</v>
      </c>
      <c r="L33" s="3">
        <f t="shared" si="3"/>
        <v>1.2001666506619217</v>
      </c>
      <c r="M33" s="3">
        <f t="shared" si="4"/>
        <v>0.67553645330740386</v>
      </c>
      <c r="N33" s="3">
        <f t="shared" si="5"/>
        <v>1.4896252544247224</v>
      </c>
      <c r="O33" s="3">
        <f t="shared" si="6"/>
        <v>-0.10144492166641138</v>
      </c>
      <c r="P33" s="3">
        <f t="shared" si="7"/>
        <v>0.4746604967450565</v>
      </c>
      <c r="Q33" s="3">
        <f t="shared" si="8"/>
        <v>-0.64371055252675302</v>
      </c>
      <c r="R33" s="3">
        <f t="shared" si="10"/>
        <v>-0.4746604967450565</v>
      </c>
    </row>
    <row r="34" spans="1:18" x14ac:dyDescent="0.3">
      <c r="A34" s="2">
        <v>30</v>
      </c>
      <c r="B34" s="2">
        <v>1</v>
      </c>
      <c r="C34" s="2">
        <v>32</v>
      </c>
      <c r="D34" s="2">
        <f t="shared" si="9"/>
        <v>1024</v>
      </c>
      <c r="E34" s="2">
        <v>51.752800000000001</v>
      </c>
      <c r="F34" s="2">
        <v>172.31639999999999</v>
      </c>
      <c r="G34" s="2">
        <v>0.53157200000000004</v>
      </c>
      <c r="H34" s="2">
        <v>6</v>
      </c>
      <c r="I34" s="3">
        <f t="shared" si="0"/>
        <v>0.57644264204066809</v>
      </c>
      <c r="J34" s="3">
        <f t="shared" si="1"/>
        <v>0.49485684194965435</v>
      </c>
      <c r="K34" s="3">
        <f t="shared" si="2"/>
        <v>-2.3291652175009903</v>
      </c>
      <c r="L34" s="3">
        <f t="shared" si="3"/>
        <v>-0.75180584272762119</v>
      </c>
      <c r="M34" s="3">
        <f t="shared" si="4"/>
        <v>0.14338300188812006</v>
      </c>
      <c r="N34" s="3">
        <f t="shared" si="5"/>
        <v>1.4896252544247224</v>
      </c>
      <c r="O34" s="3">
        <f t="shared" si="6"/>
        <v>-0.21909583047185391</v>
      </c>
      <c r="P34" s="3">
        <f t="shared" si="7"/>
        <v>0.44544410512167271</v>
      </c>
      <c r="Q34" s="3">
        <f t="shared" si="8"/>
        <v>-0.80868350543841094</v>
      </c>
      <c r="R34" s="3">
        <f t="shared" si="10"/>
        <v>0.55455589487832735</v>
      </c>
    </row>
    <row r="35" spans="1:18" x14ac:dyDescent="0.3">
      <c r="A35" s="2">
        <v>31</v>
      </c>
      <c r="B35" s="2">
        <v>0</v>
      </c>
      <c r="C35" s="2">
        <v>36</v>
      </c>
      <c r="D35" s="2">
        <f t="shared" si="9"/>
        <v>1296</v>
      </c>
      <c r="E35" s="2">
        <v>76.805300000000003</v>
      </c>
      <c r="F35" s="2">
        <v>165.53870000000001</v>
      </c>
      <c r="G35" s="2">
        <v>3.2659000000000001E-2</v>
      </c>
      <c r="H35" s="2">
        <v>1</v>
      </c>
      <c r="I35" s="3">
        <f t="shared" si="0"/>
        <v>1.1882151461963255</v>
      </c>
      <c r="J35" s="3">
        <f t="shared" si="1"/>
        <v>1.2251816929304087</v>
      </c>
      <c r="K35" s="3">
        <f t="shared" si="2"/>
        <v>0.20327763345793196</v>
      </c>
      <c r="L35" s="3">
        <f t="shared" si="3"/>
        <v>-1.4371890736642294</v>
      </c>
      <c r="M35" s="3">
        <f t="shared" si="4"/>
        <v>-1.5999442132874566</v>
      </c>
      <c r="N35" s="3">
        <f t="shared" si="5"/>
        <v>-1.4496510960581555</v>
      </c>
      <c r="O35" s="3">
        <f t="shared" si="6"/>
        <v>3.9839109720120898E-2</v>
      </c>
      <c r="P35" s="3">
        <f t="shared" si="7"/>
        <v>0.50995846033014114</v>
      </c>
      <c r="Q35" s="3">
        <f t="shared" si="8"/>
        <v>-0.71326511663420145</v>
      </c>
      <c r="R35" s="3">
        <f t="shared" si="10"/>
        <v>-0.50995846033014114</v>
      </c>
    </row>
    <row r="36" spans="1:18" x14ac:dyDescent="0.3">
      <c r="A36" s="2">
        <v>32</v>
      </c>
      <c r="B36" s="2">
        <v>1</v>
      </c>
      <c r="C36" s="2">
        <v>29</v>
      </c>
      <c r="D36" s="2">
        <f t="shared" si="9"/>
        <v>841</v>
      </c>
      <c r="E36" s="2">
        <v>101.4357</v>
      </c>
      <c r="F36" s="2">
        <v>180.94990000000001</v>
      </c>
      <c r="G36" s="2">
        <v>0.47559600000000002</v>
      </c>
      <c r="H36" s="2">
        <v>4</v>
      </c>
      <c r="I36" s="3">
        <f t="shared" si="0"/>
        <v>0.1176132639239249</v>
      </c>
      <c r="J36" s="3">
        <f t="shared" si="1"/>
        <v>3.4985782383379449E-3</v>
      </c>
      <c r="K36" s="3">
        <f t="shared" si="2"/>
        <v>2.6930523224613694</v>
      </c>
      <c r="L36" s="3">
        <f t="shared" si="3"/>
        <v>0.12124196468363059</v>
      </c>
      <c r="M36" s="3">
        <f t="shared" si="4"/>
        <v>-5.2211188274629998E-2</v>
      </c>
      <c r="N36" s="3">
        <f t="shared" si="5"/>
        <v>0.31391471423157125</v>
      </c>
      <c r="O36" s="3">
        <f t="shared" si="6"/>
        <v>0.18212870571856046</v>
      </c>
      <c r="P36" s="3">
        <f t="shared" si="7"/>
        <v>0.54540673071933832</v>
      </c>
      <c r="Q36" s="3">
        <f t="shared" si="8"/>
        <v>-0.60622346776058811</v>
      </c>
      <c r="R36" s="3">
        <f t="shared" si="10"/>
        <v>0.45459326928066168</v>
      </c>
    </row>
    <row r="37" spans="1:18" x14ac:dyDescent="0.3">
      <c r="A37" s="2">
        <v>33</v>
      </c>
      <c r="B37" s="2">
        <v>1</v>
      </c>
      <c r="C37" s="2">
        <v>37</v>
      </c>
      <c r="D37" s="2">
        <f t="shared" si="9"/>
        <v>1369</v>
      </c>
      <c r="E37" s="2">
        <v>72.971500000000006</v>
      </c>
      <c r="F37" s="2">
        <v>176.39529999999999</v>
      </c>
      <c r="G37" s="2">
        <v>0.407748</v>
      </c>
      <c r="H37" s="2">
        <v>1</v>
      </c>
      <c r="I37" s="3">
        <f t="shared" si="0"/>
        <v>1.34115827223524</v>
      </c>
      <c r="J37" s="3">
        <f t="shared" si="1"/>
        <v>1.4211879948480377</v>
      </c>
      <c r="K37" s="3">
        <f t="shared" si="2"/>
        <v>-0.18426370580985796</v>
      </c>
      <c r="L37" s="3">
        <f t="shared" si="3"/>
        <v>-0.33933411033059241</v>
      </c>
      <c r="M37" s="3">
        <f t="shared" si="4"/>
        <v>-0.28928912550062441</v>
      </c>
      <c r="N37" s="3">
        <f t="shared" si="5"/>
        <v>-1.4496510960581555</v>
      </c>
      <c r="O37" s="3">
        <f t="shared" si="6"/>
        <v>-1.208115902422615E-2</v>
      </c>
      <c r="P37" s="3">
        <f t="shared" si="7"/>
        <v>0.49697974697878983</v>
      </c>
      <c r="Q37" s="3">
        <f t="shared" si="8"/>
        <v>-0.6992060042615289</v>
      </c>
      <c r="R37" s="3">
        <f t="shared" si="10"/>
        <v>0.50302025302121023</v>
      </c>
    </row>
    <row r="38" spans="1:18" x14ac:dyDescent="0.3">
      <c r="A38" s="2">
        <v>34</v>
      </c>
      <c r="B38" s="2">
        <v>1</v>
      </c>
      <c r="C38" s="2">
        <v>20</v>
      </c>
      <c r="D38" s="2">
        <f t="shared" si="9"/>
        <v>400</v>
      </c>
      <c r="E38" s="2">
        <v>75.469200000000001</v>
      </c>
      <c r="F38" s="2">
        <v>185.11420000000001</v>
      </c>
      <c r="G38" s="2">
        <v>0.161219</v>
      </c>
      <c r="H38" s="2">
        <v>6</v>
      </c>
      <c r="I38" s="3">
        <f t="shared" si="0"/>
        <v>-1.2588748704263044</v>
      </c>
      <c r="J38" s="3">
        <f t="shared" si="1"/>
        <v>-1.1805942867708998</v>
      </c>
      <c r="K38" s="3">
        <f t="shared" si="2"/>
        <v>6.8217384254610117E-2</v>
      </c>
      <c r="L38" s="3">
        <f t="shared" si="3"/>
        <v>0.54234962489127081</v>
      </c>
      <c r="M38" s="3">
        <f t="shared" si="4"/>
        <v>-1.1507233134853427</v>
      </c>
      <c r="N38" s="3">
        <f t="shared" si="5"/>
        <v>1.4896252544247224</v>
      </c>
      <c r="O38" s="3">
        <f t="shared" si="6"/>
        <v>0.24597101420257586</v>
      </c>
      <c r="P38" s="3">
        <f t="shared" si="7"/>
        <v>0.56118458302038254</v>
      </c>
      <c r="Q38" s="3">
        <f t="shared" si="8"/>
        <v>-0.57770540258452385</v>
      </c>
      <c r="R38" s="3">
        <f t="shared" si="10"/>
        <v>0.43881541697961746</v>
      </c>
    </row>
    <row r="39" spans="1:18" x14ac:dyDescent="0.3">
      <c r="A39" s="2">
        <v>35</v>
      </c>
      <c r="B39" s="2">
        <v>0</v>
      </c>
      <c r="C39" s="2">
        <v>22</v>
      </c>
      <c r="D39" s="2">
        <f t="shared" si="9"/>
        <v>484</v>
      </c>
      <c r="E39" s="2">
        <v>92.821600000000004</v>
      </c>
      <c r="F39" s="2">
        <v>183.1747</v>
      </c>
      <c r="G39" s="2">
        <v>0.65641000000000005</v>
      </c>
      <c r="H39" s="2">
        <v>5</v>
      </c>
      <c r="I39" s="3">
        <f t="shared" si="0"/>
        <v>-0.9529886183484757</v>
      </c>
      <c r="J39" s="3">
        <f t="shared" si="1"/>
        <v>-0.9550527886739022</v>
      </c>
      <c r="K39" s="3">
        <f t="shared" si="2"/>
        <v>1.8222922800526185</v>
      </c>
      <c r="L39" s="3">
        <f t="shared" si="3"/>
        <v>0.34622103017601913</v>
      </c>
      <c r="M39" s="3">
        <f t="shared" si="4"/>
        <v>0.57959829972178778</v>
      </c>
      <c r="N39" s="3">
        <f t="shared" si="5"/>
        <v>0.90176998432814681</v>
      </c>
      <c r="O39" s="3">
        <f t="shared" si="6"/>
        <v>0.23267245143626639</v>
      </c>
      <c r="P39" s="3">
        <f t="shared" si="7"/>
        <v>0.55790710773458851</v>
      </c>
      <c r="Q39" s="3">
        <f t="shared" si="8"/>
        <v>-0.81623525548928677</v>
      </c>
      <c r="R39" s="3">
        <f t="shared" si="10"/>
        <v>-0.55790710773458851</v>
      </c>
    </row>
    <row r="40" spans="1:18" x14ac:dyDescent="0.3">
      <c r="A40" s="2">
        <v>36</v>
      </c>
      <c r="B40" s="2">
        <v>0</v>
      </c>
      <c r="C40" s="2">
        <v>36</v>
      </c>
      <c r="D40" s="2">
        <f t="shared" si="9"/>
        <v>1296</v>
      </c>
      <c r="E40" s="2">
        <v>80.902699999999996</v>
      </c>
      <c r="F40" s="2">
        <v>179.6808</v>
      </c>
      <c r="G40" s="2">
        <v>0.97115099999999999</v>
      </c>
      <c r="H40" s="2">
        <v>2</v>
      </c>
      <c r="I40" s="3">
        <f t="shared" si="0"/>
        <v>1.1882151461963255</v>
      </c>
      <c r="J40" s="3">
        <f t="shared" si="1"/>
        <v>1.2251816929304087</v>
      </c>
      <c r="K40" s="3">
        <f t="shared" si="2"/>
        <v>0.617465093293041</v>
      </c>
      <c r="L40" s="3">
        <f t="shared" si="3"/>
        <v>-7.093585485550372E-3</v>
      </c>
      <c r="M40" s="3">
        <f t="shared" si="4"/>
        <v>1.6793823322717034</v>
      </c>
      <c r="N40" s="3">
        <f t="shared" si="5"/>
        <v>-0.86179582596158</v>
      </c>
      <c r="O40" s="3">
        <f t="shared" si="6"/>
        <v>-4.7430099093983054E-2</v>
      </c>
      <c r="P40" s="3">
        <f t="shared" si="7"/>
        <v>0.48814469763132473</v>
      </c>
      <c r="Q40" s="3">
        <f t="shared" si="8"/>
        <v>-0.66971330644626592</v>
      </c>
      <c r="R40" s="3">
        <f t="shared" si="10"/>
        <v>-0.48814469763132473</v>
      </c>
    </row>
    <row r="41" spans="1:18" x14ac:dyDescent="0.3">
      <c r="A41" s="2">
        <v>37</v>
      </c>
      <c r="B41" s="2">
        <v>0</v>
      </c>
      <c r="C41" s="2">
        <v>24</v>
      </c>
      <c r="D41" s="2">
        <f t="shared" si="9"/>
        <v>576</v>
      </c>
      <c r="E41" s="2">
        <v>77.168599999999998</v>
      </c>
      <c r="F41" s="2">
        <v>179.3896</v>
      </c>
      <c r="G41" s="2">
        <v>0.56218900000000005</v>
      </c>
      <c r="H41" s="2">
        <v>6</v>
      </c>
      <c r="I41" s="3">
        <f t="shared" si="0"/>
        <v>-0.64710236627064699</v>
      </c>
      <c r="J41" s="3">
        <f t="shared" si="1"/>
        <v>-0.70803114790099997</v>
      </c>
      <c r="K41" s="3">
        <f t="shared" si="2"/>
        <v>0.24000197185742758</v>
      </c>
      <c r="L41" s="3">
        <f t="shared" si="3"/>
        <v>-3.6540683593867827E-2</v>
      </c>
      <c r="M41" s="3">
        <f t="shared" si="4"/>
        <v>0.25036648266939987</v>
      </c>
      <c r="N41" s="3">
        <f t="shared" si="5"/>
        <v>1.4896252544247224</v>
      </c>
      <c r="O41" s="3">
        <f t="shared" si="6"/>
        <v>7.5959121213599379E-2</v>
      </c>
      <c r="P41" s="3">
        <f t="shared" si="7"/>
        <v>0.51898065498445178</v>
      </c>
      <c r="Q41" s="3">
        <f t="shared" si="8"/>
        <v>-0.73184779135756806</v>
      </c>
      <c r="R41" s="3">
        <f t="shared" si="10"/>
        <v>-0.51898065498445178</v>
      </c>
    </row>
    <row r="42" spans="1:18" x14ac:dyDescent="0.3">
      <c r="A42" s="2">
        <v>38</v>
      </c>
      <c r="B42" s="2">
        <v>0</v>
      </c>
      <c r="C42" s="2">
        <v>38</v>
      </c>
      <c r="D42" s="2">
        <f t="shared" si="9"/>
        <v>1444</v>
      </c>
      <c r="E42" s="2">
        <v>79.421199999999999</v>
      </c>
      <c r="F42" s="2">
        <v>172.6414</v>
      </c>
      <c r="G42" s="2">
        <v>0.71475299999999997</v>
      </c>
      <c r="H42" s="2">
        <v>3</v>
      </c>
      <c r="I42" s="3">
        <f t="shared" si="0"/>
        <v>1.4941013982741542</v>
      </c>
      <c r="J42" s="3">
        <f t="shared" si="1"/>
        <v>1.6225643324346428</v>
      </c>
      <c r="K42" s="3">
        <f t="shared" si="2"/>
        <v>0.46770702189515118</v>
      </c>
      <c r="L42" s="3">
        <f t="shared" si="3"/>
        <v>-0.71894077787458699</v>
      </c>
      <c r="M42" s="3">
        <f t="shared" si="4"/>
        <v>0.78346338184029041</v>
      </c>
      <c r="N42" s="3">
        <f t="shared" si="5"/>
        <v>-0.27394055586500432</v>
      </c>
      <c r="O42" s="3">
        <f t="shared" si="6"/>
        <v>-3.4255766014108686E-2</v>
      </c>
      <c r="P42" s="3">
        <f t="shared" si="7"/>
        <v>0.49143689584999911</v>
      </c>
      <c r="Q42" s="3">
        <f t="shared" si="8"/>
        <v>-0.67616597256971556</v>
      </c>
      <c r="R42" s="3">
        <f t="shared" si="10"/>
        <v>-0.49143689584999911</v>
      </c>
    </row>
    <row r="43" spans="1:18" x14ac:dyDescent="0.3">
      <c r="A43" s="2">
        <v>39</v>
      </c>
      <c r="B43" s="2">
        <v>1</v>
      </c>
      <c r="C43" s="2">
        <v>26</v>
      </c>
      <c r="D43" s="2">
        <f t="shared" si="9"/>
        <v>676</v>
      </c>
      <c r="E43" s="2">
        <v>77.502399999999994</v>
      </c>
      <c r="F43" s="2">
        <v>180.83349999999999</v>
      </c>
      <c r="G43" s="2">
        <v>6.8449999999999997E-2</v>
      </c>
      <c r="H43" s="2">
        <v>2</v>
      </c>
      <c r="I43" s="3">
        <f t="shared" si="0"/>
        <v>-0.34121611419281822</v>
      </c>
      <c r="J43" s="3">
        <f t="shared" si="1"/>
        <v>-0.43952936445219321</v>
      </c>
      <c r="K43" s="3">
        <f t="shared" si="2"/>
        <v>0.2737442899354669</v>
      </c>
      <c r="L43" s="3">
        <f t="shared" si="3"/>
        <v>0.10947121530241867</v>
      </c>
      <c r="M43" s="3">
        <f t="shared" si="4"/>
        <v>-1.4748814781846451</v>
      </c>
      <c r="N43" s="3">
        <f t="shared" si="5"/>
        <v>-0.86179582596158</v>
      </c>
      <c r="O43" s="3">
        <f t="shared" si="6"/>
        <v>0.14626779624698266</v>
      </c>
      <c r="P43" s="3">
        <f t="shared" si="7"/>
        <v>0.53650189464435249</v>
      </c>
      <c r="Q43" s="3">
        <f t="shared" si="8"/>
        <v>-0.62268518542768014</v>
      </c>
      <c r="R43" s="3">
        <f t="shared" si="10"/>
        <v>0.46349810535564751</v>
      </c>
    </row>
    <row r="44" spans="1:18" x14ac:dyDescent="0.3">
      <c r="A44" s="2">
        <v>40</v>
      </c>
      <c r="B44" s="2">
        <v>1</v>
      </c>
      <c r="C44" s="2">
        <v>24</v>
      </c>
      <c r="D44" s="2">
        <f t="shared" si="9"/>
        <v>576</v>
      </c>
      <c r="E44" s="2">
        <v>63.602499999999999</v>
      </c>
      <c r="F44" s="2">
        <v>188.81280000000001</v>
      </c>
      <c r="G44" s="2">
        <v>0.41766700000000001</v>
      </c>
      <c r="H44" s="2">
        <v>6</v>
      </c>
      <c r="I44" s="3">
        <f t="shared" si="0"/>
        <v>-0.64710236627064699</v>
      </c>
      <c r="J44" s="3">
        <f t="shared" si="1"/>
        <v>-0.70803114790099997</v>
      </c>
      <c r="K44" s="3">
        <f t="shared" si="2"/>
        <v>-1.1313331428175082</v>
      </c>
      <c r="L44" s="3">
        <f t="shared" si="3"/>
        <v>0.91636417524642755</v>
      </c>
      <c r="M44" s="3">
        <f t="shared" si="4"/>
        <v>-0.25462965050733588</v>
      </c>
      <c r="N44" s="3">
        <f t="shared" si="5"/>
        <v>1.4896252544247224</v>
      </c>
      <c r="O44" s="3">
        <f t="shared" si="6"/>
        <v>2.9605404787508668E-2</v>
      </c>
      <c r="P44" s="3">
        <f t="shared" si="7"/>
        <v>0.5074008106495681</v>
      </c>
      <c r="Q44" s="3">
        <f t="shared" si="8"/>
        <v>-0.67845403416437267</v>
      </c>
      <c r="R44" s="3">
        <f t="shared" si="10"/>
        <v>0.4925991893504319</v>
      </c>
    </row>
    <row r="45" spans="1:18" x14ac:dyDescent="0.3">
      <c r="A45" s="2">
        <v>41</v>
      </c>
      <c r="B45" s="2">
        <v>0</v>
      </c>
      <c r="C45" s="2">
        <v>35</v>
      </c>
      <c r="D45" s="2">
        <f t="shared" si="9"/>
        <v>1225</v>
      </c>
      <c r="E45" s="2">
        <v>61.585500000000003</v>
      </c>
      <c r="F45" s="2">
        <v>170.2655</v>
      </c>
      <c r="G45" s="2">
        <v>0.116358</v>
      </c>
      <c r="H45" s="2">
        <v>5</v>
      </c>
      <c r="I45" s="3">
        <f t="shared" si="0"/>
        <v>1.0352720201574113</v>
      </c>
      <c r="J45" s="3">
        <f t="shared" si="1"/>
        <v>1.034545426681756</v>
      </c>
      <c r="K45" s="3">
        <f t="shared" si="2"/>
        <v>-1.3352224644574298</v>
      </c>
      <c r="L45" s="3">
        <f t="shared" si="3"/>
        <v>-0.95919957044172521</v>
      </c>
      <c r="M45" s="3">
        <f t="shared" si="4"/>
        <v>-1.307478904540279</v>
      </c>
      <c r="N45" s="3">
        <f t="shared" si="5"/>
        <v>0.90176998432814681</v>
      </c>
      <c r="O45" s="3">
        <f t="shared" si="6"/>
        <v>-9.6781421035457171E-2</v>
      </c>
      <c r="P45" s="3">
        <f t="shared" si="7"/>
        <v>0.47582351284042695</v>
      </c>
      <c r="Q45" s="3">
        <f t="shared" si="8"/>
        <v>-0.64592684381159016</v>
      </c>
      <c r="R45" s="3">
        <f t="shared" si="10"/>
        <v>-0.47582351284042695</v>
      </c>
    </row>
    <row r="46" spans="1:18" x14ac:dyDescent="0.3">
      <c r="A46" s="2">
        <v>42</v>
      </c>
      <c r="B46" s="2">
        <v>0</v>
      </c>
      <c r="C46" s="2">
        <v>21</v>
      </c>
      <c r="D46" s="2">
        <f t="shared" si="9"/>
        <v>441</v>
      </c>
      <c r="E46" s="2">
        <v>93.868300000000005</v>
      </c>
      <c r="F46" s="2">
        <v>179.946</v>
      </c>
      <c r="G46" s="2">
        <v>0.61279600000000001</v>
      </c>
      <c r="H46" s="2">
        <v>1</v>
      </c>
      <c r="I46" s="3">
        <f t="shared" si="0"/>
        <v>-1.1059317443873902</v>
      </c>
      <c r="J46" s="3">
        <f t="shared" si="1"/>
        <v>-1.0705085555568892</v>
      </c>
      <c r="K46" s="3">
        <f t="shared" si="2"/>
        <v>1.9280984044752791</v>
      </c>
      <c r="L46" s="3">
        <f t="shared" si="3"/>
        <v>1.9724307434523428E-2</v>
      </c>
      <c r="M46" s="3">
        <f t="shared" si="4"/>
        <v>0.42720003957890174</v>
      </c>
      <c r="N46" s="3">
        <f t="shared" si="5"/>
        <v>-1.4496510960581555</v>
      </c>
      <c r="O46" s="3">
        <f t="shared" si="6"/>
        <v>0.29944790423964646</v>
      </c>
      <c r="P46" s="3">
        <f t="shared" si="7"/>
        <v>0.57430754687043628</v>
      </c>
      <c r="Q46" s="3">
        <f t="shared" si="8"/>
        <v>-0.85403813444808463</v>
      </c>
      <c r="R46" s="3">
        <f t="shared" si="10"/>
        <v>-0.57430754687043628</v>
      </c>
    </row>
    <row r="47" spans="1:18" x14ac:dyDescent="0.3">
      <c r="A47" s="2">
        <v>43</v>
      </c>
      <c r="B47" s="2">
        <v>0</v>
      </c>
      <c r="C47" s="2">
        <v>31</v>
      </c>
      <c r="D47" s="2">
        <f t="shared" si="9"/>
        <v>961</v>
      </c>
      <c r="E47" s="2">
        <v>76.838800000000006</v>
      </c>
      <c r="F47" s="2">
        <v>190.38390000000001</v>
      </c>
      <c r="G47" s="2">
        <v>0.93848200000000004</v>
      </c>
      <c r="H47" s="2">
        <v>2</v>
      </c>
      <c r="I47" s="3">
        <f t="shared" si="0"/>
        <v>0.42349951600175367</v>
      </c>
      <c r="J47" s="3">
        <f t="shared" si="1"/>
        <v>0.32570071837690606</v>
      </c>
      <c r="K47" s="3">
        <f t="shared" si="2"/>
        <v>0.20666399551789136</v>
      </c>
      <c r="L47" s="3">
        <f t="shared" si="3"/>
        <v>1.0752389549098103</v>
      </c>
      <c r="M47" s="3">
        <f t="shared" si="4"/>
        <v>1.5652286485782121</v>
      </c>
      <c r="N47" s="3">
        <f t="shared" si="5"/>
        <v>-0.86179582596158</v>
      </c>
      <c r="O47" s="3">
        <f t="shared" si="6"/>
        <v>-3.12566735480624E-2</v>
      </c>
      <c r="P47" s="3">
        <f t="shared" si="7"/>
        <v>0.49218646774112168</v>
      </c>
      <c r="Q47" s="3">
        <f t="shared" si="8"/>
        <v>-0.67764096127010098</v>
      </c>
      <c r="R47" s="3">
        <f t="shared" si="10"/>
        <v>-0.49218646774112168</v>
      </c>
    </row>
    <row r="48" spans="1:18" x14ac:dyDescent="0.3">
      <c r="A48" s="2">
        <v>44</v>
      </c>
      <c r="B48" s="2">
        <v>1</v>
      </c>
      <c r="C48" s="2">
        <v>35</v>
      </c>
      <c r="D48" s="2">
        <f t="shared" si="9"/>
        <v>1225</v>
      </c>
      <c r="E48" s="2">
        <v>76.001000000000005</v>
      </c>
      <c r="F48" s="2">
        <v>185.05420000000001</v>
      </c>
      <c r="G48" s="2">
        <v>0.66177799999999998</v>
      </c>
      <c r="H48" s="2">
        <v>5</v>
      </c>
      <c r="I48" s="3">
        <f t="shared" si="0"/>
        <v>1.0352720201574113</v>
      </c>
      <c r="J48" s="3">
        <f t="shared" si="1"/>
        <v>1.034545426681756</v>
      </c>
      <c r="K48" s="3">
        <f t="shared" si="2"/>
        <v>0.12197461838852749</v>
      </c>
      <c r="L48" s="3">
        <f t="shared" si="3"/>
        <v>0.53628222830301842</v>
      </c>
      <c r="M48" s="3">
        <f t="shared" si="4"/>
        <v>0.59835543872410346</v>
      </c>
      <c r="N48" s="3">
        <f t="shared" si="5"/>
        <v>0.90176998432814681</v>
      </c>
      <c r="O48" s="3">
        <f t="shared" si="6"/>
        <v>-4.7585073224283271E-2</v>
      </c>
      <c r="P48" s="3">
        <f t="shared" si="7"/>
        <v>0.48810597595130334</v>
      </c>
      <c r="Q48" s="3">
        <f t="shared" si="8"/>
        <v>-0.71722273287100413</v>
      </c>
      <c r="R48" s="3">
        <f t="shared" si="10"/>
        <v>0.51189402404869666</v>
      </c>
    </row>
    <row r="49" spans="1:18" x14ac:dyDescent="0.3">
      <c r="A49" s="2">
        <v>45</v>
      </c>
      <c r="B49" s="2">
        <v>0</v>
      </c>
      <c r="C49" s="2">
        <v>26</v>
      </c>
      <c r="D49" s="2">
        <f t="shared" si="9"/>
        <v>676</v>
      </c>
      <c r="E49" s="2">
        <v>74.097700000000003</v>
      </c>
      <c r="F49" s="2">
        <v>193.09469999999999</v>
      </c>
      <c r="G49" s="2">
        <v>7.6802999999999996E-2</v>
      </c>
      <c r="H49" s="2">
        <v>4</v>
      </c>
      <c r="I49" s="3">
        <f t="shared" si="0"/>
        <v>-0.34121611419281822</v>
      </c>
      <c r="J49" s="3">
        <f t="shared" si="1"/>
        <v>-0.43952936445219321</v>
      </c>
      <c r="K49" s="3">
        <f t="shared" si="2"/>
        <v>-7.0421289334459056E-2</v>
      </c>
      <c r="L49" s="3">
        <f t="shared" si="3"/>
        <v>1.3493639327670401</v>
      </c>
      <c r="M49" s="3">
        <f t="shared" si="4"/>
        <v>-1.445694000150676</v>
      </c>
      <c r="N49" s="3">
        <f t="shared" si="5"/>
        <v>0.31391471423157125</v>
      </c>
      <c r="O49" s="3">
        <f t="shared" si="6"/>
        <v>0.13480826427436193</v>
      </c>
      <c r="P49" s="3">
        <f t="shared" si="7"/>
        <v>0.53365111893062511</v>
      </c>
      <c r="Q49" s="3">
        <f t="shared" si="8"/>
        <v>-0.7628212531487466</v>
      </c>
      <c r="R49" s="3">
        <f t="shared" si="10"/>
        <v>-0.53365111893062511</v>
      </c>
    </row>
    <row r="50" spans="1:18" x14ac:dyDescent="0.3">
      <c r="A50" s="2">
        <v>46</v>
      </c>
      <c r="B50" s="2">
        <v>0</v>
      </c>
      <c r="C50" s="2">
        <v>38</v>
      </c>
      <c r="D50" s="2">
        <f t="shared" si="9"/>
        <v>1444</v>
      </c>
      <c r="E50" s="2">
        <v>82.810699999999997</v>
      </c>
      <c r="F50" s="2">
        <v>174.3186</v>
      </c>
      <c r="G50" s="2">
        <v>0.35466599999999998</v>
      </c>
      <c r="H50" s="2">
        <v>3</v>
      </c>
      <c r="I50" s="3">
        <f t="shared" si="0"/>
        <v>1.4941013982741542</v>
      </c>
      <c r="J50" s="3">
        <f t="shared" si="1"/>
        <v>1.6225643324346428</v>
      </c>
      <c r="K50" s="3">
        <f t="shared" si="2"/>
        <v>0.81033610255876809</v>
      </c>
      <c r="L50" s="3">
        <f t="shared" si="3"/>
        <v>-0.54933681857764527</v>
      </c>
      <c r="M50" s="3">
        <f t="shared" si="4"/>
        <v>-0.47477095346652226</v>
      </c>
      <c r="N50" s="3">
        <f t="shared" si="5"/>
        <v>-0.27394055586500432</v>
      </c>
      <c r="O50" s="3">
        <f t="shared" si="6"/>
        <v>4.561333183653133E-2</v>
      </c>
      <c r="P50" s="3">
        <f t="shared" si="7"/>
        <v>0.51140135624529015</v>
      </c>
      <c r="Q50" s="3">
        <f t="shared" si="8"/>
        <v>-0.71621389594067553</v>
      </c>
      <c r="R50" s="3">
        <f t="shared" si="10"/>
        <v>-0.51140135624529015</v>
      </c>
    </row>
    <row r="51" spans="1:18" x14ac:dyDescent="0.3">
      <c r="A51" s="2">
        <v>47</v>
      </c>
      <c r="B51" s="2">
        <v>1</v>
      </c>
      <c r="C51" s="2">
        <v>19</v>
      </c>
      <c r="D51" s="2">
        <f t="shared" si="9"/>
        <v>361</v>
      </c>
      <c r="E51" s="2">
        <v>100.3869</v>
      </c>
      <c r="F51" s="2">
        <v>161.69229999999999</v>
      </c>
      <c r="G51" s="2">
        <v>0.55066300000000001</v>
      </c>
      <c r="H51" s="2">
        <v>2</v>
      </c>
      <c r="I51" s="3">
        <f t="shared" si="0"/>
        <v>-1.4118179964652189</v>
      </c>
      <c r="J51" s="3">
        <f t="shared" si="1"/>
        <v>-1.2853099823159346</v>
      </c>
      <c r="K51" s="3">
        <f t="shared" si="2"/>
        <v>2.5870339186259952</v>
      </c>
      <c r="L51" s="3">
        <f t="shared" si="3"/>
        <v>-1.8261496442817824</v>
      </c>
      <c r="M51" s="3">
        <f t="shared" si="4"/>
        <v>0.2100917464285848</v>
      </c>
      <c r="N51" s="3">
        <f t="shared" si="5"/>
        <v>-0.86179582596158</v>
      </c>
      <c r="O51" s="3">
        <f t="shared" si="6"/>
        <v>0.36354901576506926</v>
      </c>
      <c r="P51" s="3">
        <f t="shared" si="7"/>
        <v>0.58989927839571055</v>
      </c>
      <c r="Q51" s="3">
        <f t="shared" si="8"/>
        <v>-0.52780347123930649</v>
      </c>
      <c r="R51" s="3">
        <f t="shared" si="10"/>
        <v>0.41010072160428945</v>
      </c>
    </row>
    <row r="52" spans="1:18" x14ac:dyDescent="0.3">
      <c r="A52" s="2">
        <v>48</v>
      </c>
      <c r="B52" s="2">
        <v>1</v>
      </c>
      <c r="C52" s="2">
        <v>37</v>
      </c>
      <c r="D52" s="2">
        <f t="shared" si="9"/>
        <v>1369</v>
      </c>
      <c r="E52" s="2">
        <v>80.239500000000007</v>
      </c>
      <c r="F52" s="2">
        <v>182.00649999999999</v>
      </c>
      <c r="G52" s="2">
        <v>0.40320800000000001</v>
      </c>
      <c r="H52" s="2">
        <v>1</v>
      </c>
      <c r="I52" s="3">
        <f t="shared" si="0"/>
        <v>1.34115827223524</v>
      </c>
      <c r="J52" s="3">
        <f t="shared" si="1"/>
        <v>1.4211879948480377</v>
      </c>
      <c r="K52" s="3">
        <f t="shared" si="2"/>
        <v>0.55042523304931568</v>
      </c>
      <c r="L52" s="3">
        <f t="shared" si="3"/>
        <v>0.22808881860274841</v>
      </c>
      <c r="M52" s="3">
        <f t="shared" si="4"/>
        <v>-0.3051530247313462</v>
      </c>
      <c r="N52" s="3">
        <f t="shared" si="5"/>
        <v>-1.4496510960581555</v>
      </c>
      <c r="O52" s="3">
        <f t="shared" si="6"/>
        <v>4.9910451797347627E-2</v>
      </c>
      <c r="P52" s="3">
        <f t="shared" si="7"/>
        <v>0.51247502339460282</v>
      </c>
      <c r="Q52" s="3">
        <f t="shared" si="8"/>
        <v>-0.66850330399695401</v>
      </c>
      <c r="R52" s="3">
        <f t="shared" si="10"/>
        <v>0.48752497660539718</v>
      </c>
    </row>
    <row r="53" spans="1:18" x14ac:dyDescent="0.3">
      <c r="A53" s="2">
        <v>49</v>
      </c>
      <c r="B53" s="2">
        <v>0</v>
      </c>
      <c r="C53" s="2">
        <v>32</v>
      </c>
      <c r="D53" s="2">
        <f t="shared" si="9"/>
        <v>1024</v>
      </c>
      <c r="E53" s="2">
        <v>69.119100000000003</v>
      </c>
      <c r="F53" s="2">
        <v>183.62569999999999</v>
      </c>
      <c r="G53" s="2">
        <v>0.83364400000000005</v>
      </c>
      <c r="H53" s="2">
        <v>4</v>
      </c>
      <c r="I53" s="3">
        <f t="shared" si="0"/>
        <v>0.57644264204066809</v>
      </c>
      <c r="J53" s="3">
        <f t="shared" si="1"/>
        <v>0.49485684194965435</v>
      </c>
      <c r="K53" s="3">
        <f t="shared" si="2"/>
        <v>-0.57368523416168549</v>
      </c>
      <c r="L53" s="3">
        <f t="shared" si="3"/>
        <v>0.39182762786438041</v>
      </c>
      <c r="M53" s="3">
        <f t="shared" si="4"/>
        <v>1.1988983693820856</v>
      </c>
      <c r="N53" s="3">
        <f t="shared" si="5"/>
        <v>0.31391471423157125</v>
      </c>
      <c r="O53" s="3">
        <f t="shared" si="6"/>
        <v>-0.10596596051494191</v>
      </c>
      <c r="P53" s="3">
        <f t="shared" si="7"/>
        <v>0.47353327100467274</v>
      </c>
      <c r="Q53" s="3">
        <f t="shared" si="8"/>
        <v>-0.64156714219625655</v>
      </c>
      <c r="R53" s="3">
        <f t="shared" si="10"/>
        <v>-0.47353327100467274</v>
      </c>
    </row>
    <row r="54" spans="1:18" x14ac:dyDescent="0.3">
      <c r="A54" s="2">
        <v>50</v>
      </c>
      <c r="B54" s="2">
        <v>1</v>
      </c>
      <c r="C54" s="2">
        <v>24</v>
      </c>
      <c r="D54" s="2">
        <f t="shared" si="9"/>
        <v>576</v>
      </c>
      <c r="E54" s="2">
        <v>73.665999999999997</v>
      </c>
      <c r="F54" s="2">
        <v>193.6842</v>
      </c>
      <c r="G54" s="2">
        <v>0.81467100000000003</v>
      </c>
      <c r="H54" s="2">
        <v>5</v>
      </c>
      <c r="I54" s="3">
        <f t="shared" si="0"/>
        <v>-0.64710236627064699</v>
      </c>
      <c r="J54" s="3">
        <f t="shared" si="1"/>
        <v>-0.70803114790099997</v>
      </c>
      <c r="K54" s="3">
        <f t="shared" si="2"/>
        <v>-0.11405987146234979</v>
      </c>
      <c r="L54" s="3">
        <f t="shared" si="3"/>
        <v>1.4089761042466191</v>
      </c>
      <c r="M54" s="3">
        <f t="shared" si="4"/>
        <v>1.1326019464515822</v>
      </c>
      <c r="N54" s="3">
        <f t="shared" si="5"/>
        <v>0.90176998432814681</v>
      </c>
      <c r="O54" s="3">
        <f t="shared" si="6"/>
        <v>5.6954087301568639E-2</v>
      </c>
      <c r="P54" s="3">
        <f t="shared" si="7"/>
        <v>0.51423467420160696</v>
      </c>
      <c r="Q54" s="3">
        <f t="shared" si="8"/>
        <v>-0.66507555312630739</v>
      </c>
      <c r="R54" s="3">
        <f t="shared" si="10"/>
        <v>0.48576532579839304</v>
      </c>
    </row>
    <row r="55" spans="1:18" x14ac:dyDescent="0.3">
      <c r="A55" s="2">
        <v>51</v>
      </c>
      <c r="B55" s="2">
        <v>0</v>
      </c>
      <c r="C55" s="2">
        <v>29</v>
      </c>
      <c r="D55" s="2">
        <f t="shared" si="9"/>
        <v>841</v>
      </c>
      <c r="E55" s="2">
        <v>85.71</v>
      </c>
      <c r="F55" s="2">
        <v>191.88149999999999</v>
      </c>
      <c r="G55" s="2">
        <v>0.61183100000000001</v>
      </c>
      <c r="H55" s="2">
        <v>3</v>
      </c>
      <c r="I55" s="3">
        <f t="shared" si="0"/>
        <v>0.1176132639239249</v>
      </c>
      <c r="J55" s="3">
        <f t="shared" si="1"/>
        <v>3.4985782383379449E-3</v>
      </c>
      <c r="K55" s="3">
        <f t="shared" si="2"/>
        <v>1.1034131031688945</v>
      </c>
      <c r="L55" s="3">
        <f t="shared" si="3"/>
        <v>1.2266811737525816</v>
      </c>
      <c r="M55" s="3">
        <f t="shared" si="4"/>
        <v>0.42382808742964045</v>
      </c>
      <c r="N55" s="3">
        <f t="shared" si="5"/>
        <v>-0.27394055586500432</v>
      </c>
      <c r="O55" s="3">
        <f t="shared" si="6"/>
        <v>9.1501654486130402E-2</v>
      </c>
      <c r="P55" s="3">
        <f t="shared" si="7"/>
        <v>0.52285946650589243</v>
      </c>
      <c r="Q55" s="3">
        <f t="shared" si="8"/>
        <v>-0.73994421200109139</v>
      </c>
      <c r="R55" s="3">
        <f t="shared" si="10"/>
        <v>-0.52285946650589243</v>
      </c>
    </row>
    <row r="56" spans="1:18" x14ac:dyDescent="0.3">
      <c r="A56" s="2">
        <v>52</v>
      </c>
      <c r="B56" s="2">
        <v>1</v>
      </c>
      <c r="C56" s="2">
        <v>25</v>
      </c>
      <c r="D56" s="2">
        <f t="shared" si="9"/>
        <v>625</v>
      </c>
      <c r="E56" s="2">
        <v>69.171999999999997</v>
      </c>
      <c r="F56" s="2">
        <v>185.3674</v>
      </c>
      <c r="G56" s="2">
        <v>0.37345800000000001</v>
      </c>
      <c r="H56" s="2">
        <v>1</v>
      </c>
      <c r="I56" s="3">
        <f t="shared" si="0"/>
        <v>-0.49415924023173263</v>
      </c>
      <c r="J56" s="3">
        <f t="shared" si="1"/>
        <v>-0.57646527401108472</v>
      </c>
      <c r="K56" s="3">
        <f t="shared" si="2"/>
        <v>-0.56833781466998956</v>
      </c>
      <c r="L56" s="3">
        <f t="shared" si="3"/>
        <v>0.56795403849369419</v>
      </c>
      <c r="M56" s="3">
        <f t="shared" si="4"/>
        <v>-0.40910698995468853</v>
      </c>
      <c r="N56" s="3">
        <f t="shared" si="5"/>
        <v>-1.4496510960581555</v>
      </c>
      <c r="O56" s="3">
        <f t="shared" si="6"/>
        <v>8.4228066222560335E-2</v>
      </c>
      <c r="P56" s="3">
        <f t="shared" si="7"/>
        <v>0.52104457653045033</v>
      </c>
      <c r="Q56" s="3">
        <f t="shared" si="8"/>
        <v>-0.65191968132937483</v>
      </c>
      <c r="R56" s="3">
        <f t="shared" si="10"/>
        <v>0.47895542346954967</v>
      </c>
    </row>
    <row r="57" spans="1:18" x14ac:dyDescent="0.3">
      <c r="A57" s="2">
        <v>53</v>
      </c>
      <c r="B57" s="2">
        <v>0</v>
      </c>
      <c r="C57" s="2">
        <v>32</v>
      </c>
      <c r="D57" s="2">
        <f t="shared" si="9"/>
        <v>1024</v>
      </c>
      <c r="E57" s="2">
        <v>83.522499999999994</v>
      </c>
      <c r="F57" s="2">
        <v>187.65389999999999</v>
      </c>
      <c r="G57" s="2">
        <v>0.25533600000000001</v>
      </c>
      <c r="H57" s="2">
        <v>5</v>
      </c>
      <c r="I57" s="3">
        <f t="shared" si="0"/>
        <v>0.57644264204066809</v>
      </c>
      <c r="J57" s="3">
        <f t="shared" si="1"/>
        <v>0.49485684194965435</v>
      </c>
      <c r="K57" s="3">
        <f t="shared" si="2"/>
        <v>0.88228871492530048</v>
      </c>
      <c r="L57" s="3">
        <f t="shared" si="3"/>
        <v>0.79917241014433549</v>
      </c>
      <c r="M57" s="3">
        <f t="shared" si="4"/>
        <v>-0.82185489852986993</v>
      </c>
      <c r="N57" s="3">
        <f t="shared" si="5"/>
        <v>0.90176998432814681</v>
      </c>
      <c r="O57" s="3">
        <f t="shared" si="6"/>
        <v>7.6613273456958675E-2</v>
      </c>
      <c r="P57" s="3">
        <f t="shared" si="7"/>
        <v>0.51914395534356184</v>
      </c>
      <c r="Q57" s="3">
        <f t="shared" si="8"/>
        <v>-0.73218733712915629</v>
      </c>
      <c r="R57" s="3">
        <f t="shared" si="10"/>
        <v>-0.51914395534356184</v>
      </c>
    </row>
    <row r="58" spans="1:18" x14ac:dyDescent="0.3">
      <c r="A58" s="2">
        <v>54</v>
      </c>
      <c r="B58" s="2">
        <v>0</v>
      </c>
      <c r="C58" s="2">
        <v>20</v>
      </c>
      <c r="D58" s="2">
        <f t="shared" si="9"/>
        <v>400</v>
      </c>
      <c r="E58" s="2">
        <v>51.7926</v>
      </c>
      <c r="F58" s="2">
        <v>178.08179999999999</v>
      </c>
      <c r="G58" s="2">
        <v>0.105874</v>
      </c>
      <c r="H58" s="2">
        <v>5</v>
      </c>
      <c r="I58" s="3">
        <f t="shared" si="0"/>
        <v>-1.2588748704263044</v>
      </c>
      <c r="J58" s="3">
        <f t="shared" si="1"/>
        <v>-1.1805942867708998</v>
      </c>
      <c r="K58" s="3">
        <f t="shared" si="2"/>
        <v>-2.3251420172028898</v>
      </c>
      <c r="L58" s="3">
        <f t="shared" si="3"/>
        <v>-0.168789704562472</v>
      </c>
      <c r="M58" s="3">
        <f t="shared" si="4"/>
        <v>-1.3441126313100784</v>
      </c>
      <c r="N58" s="3">
        <f t="shared" si="5"/>
        <v>0.90176998432814681</v>
      </c>
      <c r="O58" s="3">
        <f t="shared" si="6"/>
        <v>8.8998456619397426E-2</v>
      </c>
      <c r="P58" s="3">
        <f t="shared" si="7"/>
        <v>0.52223493968787182</v>
      </c>
      <c r="Q58" s="3">
        <f t="shared" si="8"/>
        <v>-0.7386361729423262</v>
      </c>
      <c r="R58" s="3">
        <f t="shared" si="10"/>
        <v>-0.52223493968787182</v>
      </c>
    </row>
    <row r="59" spans="1:18" x14ac:dyDescent="0.3">
      <c r="A59" s="2">
        <v>55</v>
      </c>
      <c r="B59" s="2">
        <v>0</v>
      </c>
      <c r="C59" s="2">
        <v>31</v>
      </c>
      <c r="D59" s="2">
        <f t="shared" si="9"/>
        <v>961</v>
      </c>
      <c r="E59" s="2">
        <v>72.7012</v>
      </c>
      <c r="F59" s="2">
        <v>167.80889999999999</v>
      </c>
      <c r="G59" s="2">
        <v>0.35489799999999999</v>
      </c>
      <c r="H59" s="2">
        <v>2</v>
      </c>
      <c r="I59" s="3">
        <f t="shared" si="0"/>
        <v>0.42349951600175367</v>
      </c>
      <c r="J59" s="3">
        <f t="shared" si="1"/>
        <v>0.32570071837690606</v>
      </c>
      <c r="K59" s="3">
        <f t="shared" si="2"/>
        <v>-0.21158709878916987</v>
      </c>
      <c r="L59" s="3">
        <f t="shared" si="3"/>
        <v>-1.2076190114200633</v>
      </c>
      <c r="M59" s="3">
        <f t="shared" si="4"/>
        <v>-0.47396028725032674</v>
      </c>
      <c r="N59" s="3">
        <f t="shared" si="5"/>
        <v>-0.86179582596158</v>
      </c>
      <c r="O59" s="3">
        <f t="shared" si="6"/>
        <v>-2.4923448051741383E-2</v>
      </c>
      <c r="P59" s="3">
        <f t="shared" si="7"/>
        <v>0.49376946050670051</v>
      </c>
      <c r="Q59" s="3">
        <f t="shared" si="8"/>
        <v>-0.68076310180730604</v>
      </c>
      <c r="R59" s="3">
        <f t="shared" si="10"/>
        <v>-0.49376946050670051</v>
      </c>
    </row>
    <row r="60" spans="1:18" x14ac:dyDescent="0.3">
      <c r="A60" s="2">
        <v>56</v>
      </c>
      <c r="B60" s="2">
        <v>0</v>
      </c>
      <c r="C60" s="2">
        <v>34</v>
      </c>
      <c r="D60" s="2">
        <f t="shared" si="9"/>
        <v>1156</v>
      </c>
      <c r="E60" s="2">
        <v>81.281400000000005</v>
      </c>
      <c r="F60" s="2">
        <v>181.1772</v>
      </c>
      <c r="G60" s="2">
        <v>0.41317300000000001</v>
      </c>
      <c r="H60" s="2">
        <v>2</v>
      </c>
      <c r="I60" s="3">
        <f t="shared" si="0"/>
        <v>0.8823288941184968</v>
      </c>
      <c r="J60" s="3">
        <f t="shared" si="1"/>
        <v>0.84927919610207925</v>
      </c>
      <c r="K60" s="3">
        <f t="shared" si="2"/>
        <v>0.65574614738577297</v>
      </c>
      <c r="L60" s="3">
        <f t="shared" si="3"/>
        <v>0.14422728542545768</v>
      </c>
      <c r="M60" s="3">
        <f t="shared" si="4"/>
        <v>-0.27033281419519134</v>
      </c>
      <c r="N60" s="3">
        <f t="shared" si="5"/>
        <v>-0.86179582596158</v>
      </c>
      <c r="O60" s="3">
        <f t="shared" si="6"/>
        <v>4.0340756864897284E-2</v>
      </c>
      <c r="P60" s="3">
        <f t="shared" si="7"/>
        <v>0.51008382173863176</v>
      </c>
      <c r="Q60" s="3">
        <f t="shared" si="8"/>
        <v>-0.71352096728342973</v>
      </c>
      <c r="R60" s="3">
        <f t="shared" si="10"/>
        <v>-0.51008382173863176</v>
      </c>
    </row>
    <row r="61" spans="1:18" x14ac:dyDescent="0.3">
      <c r="A61" s="2">
        <v>57</v>
      </c>
      <c r="B61" s="2">
        <v>1</v>
      </c>
      <c r="C61" s="2">
        <v>21</v>
      </c>
      <c r="D61" s="2">
        <f t="shared" si="9"/>
        <v>441</v>
      </c>
      <c r="E61" s="2">
        <v>87.701300000000003</v>
      </c>
      <c r="F61" s="2">
        <v>189.82570000000001</v>
      </c>
      <c r="G61" s="2">
        <v>0.67582299999999995</v>
      </c>
      <c r="H61" s="2">
        <v>1</v>
      </c>
      <c r="I61" s="3">
        <f t="shared" si="0"/>
        <v>-1.1059317443873902</v>
      </c>
      <c r="J61" s="3">
        <f t="shared" si="1"/>
        <v>-1.0705085555568892</v>
      </c>
      <c r="K61" s="3">
        <f t="shared" si="2"/>
        <v>1.3047045291389385</v>
      </c>
      <c r="L61" s="3">
        <f t="shared" si="3"/>
        <v>1.018791941983771</v>
      </c>
      <c r="M61" s="3">
        <f t="shared" si="4"/>
        <v>0.6474321930623167</v>
      </c>
      <c r="N61" s="3">
        <f t="shared" si="5"/>
        <v>-1.4496510960581555</v>
      </c>
      <c r="O61" s="3">
        <f t="shared" si="6"/>
        <v>0.27237581121059323</v>
      </c>
      <c r="P61" s="3">
        <f t="shared" si="7"/>
        <v>0.56767606992312403</v>
      </c>
      <c r="Q61" s="3">
        <f t="shared" si="8"/>
        <v>-0.56620432237468077</v>
      </c>
      <c r="R61" s="3">
        <f t="shared" si="10"/>
        <v>0.43232393007687597</v>
      </c>
    </row>
    <row r="62" spans="1:18" x14ac:dyDescent="0.3">
      <c r="A62" s="2">
        <v>58</v>
      </c>
      <c r="B62" s="2">
        <v>1</v>
      </c>
      <c r="C62" s="2">
        <v>35</v>
      </c>
      <c r="D62" s="2">
        <f t="shared" si="9"/>
        <v>1225</v>
      </c>
      <c r="E62" s="2">
        <v>66.815299999999993</v>
      </c>
      <c r="F62" s="2">
        <v>186.56360000000001</v>
      </c>
      <c r="G62" s="2">
        <v>0.65815999999999997</v>
      </c>
      <c r="H62" s="2">
        <v>6</v>
      </c>
      <c r="I62" s="3">
        <f t="shared" si="0"/>
        <v>1.0352720201574113</v>
      </c>
      <c r="J62" s="3">
        <f t="shared" si="1"/>
        <v>1.034545426681756</v>
      </c>
      <c r="K62" s="3">
        <f t="shared" si="2"/>
        <v>-0.80656585845224282</v>
      </c>
      <c r="L62" s="3">
        <f t="shared" si="3"/>
        <v>0.68891770180814837</v>
      </c>
      <c r="M62" s="3">
        <f t="shared" si="4"/>
        <v>0.58571323885257232</v>
      </c>
      <c r="N62" s="3">
        <f t="shared" si="5"/>
        <v>1.4896252544247224</v>
      </c>
      <c r="O62" s="3">
        <f t="shared" si="6"/>
        <v>-0.11258137506177701</v>
      </c>
      <c r="P62" s="3">
        <f t="shared" si="7"/>
        <v>0.47188434610595437</v>
      </c>
      <c r="Q62" s="3">
        <f t="shared" si="8"/>
        <v>-0.75102135285773608</v>
      </c>
      <c r="R62" s="3">
        <f t="shared" si="10"/>
        <v>0.52811565389404569</v>
      </c>
    </row>
    <row r="63" spans="1:18" x14ac:dyDescent="0.3">
      <c r="A63" s="2">
        <v>59</v>
      </c>
      <c r="B63" s="2">
        <v>1</v>
      </c>
      <c r="C63" s="2">
        <v>25</v>
      </c>
      <c r="D63" s="2">
        <f t="shared" si="9"/>
        <v>625</v>
      </c>
      <c r="E63" s="2">
        <v>59.972299999999997</v>
      </c>
      <c r="F63" s="2">
        <v>188.3381</v>
      </c>
      <c r="G63" s="2">
        <v>7.0108000000000004E-2</v>
      </c>
      <c r="H63" s="2">
        <v>6</v>
      </c>
      <c r="I63" s="3">
        <f t="shared" si="0"/>
        <v>-0.49415924023173263</v>
      </c>
      <c r="J63" s="3">
        <f t="shared" si="1"/>
        <v>-0.57646527401108472</v>
      </c>
      <c r="K63" s="3">
        <f t="shared" si="2"/>
        <v>-1.4982934875955178</v>
      </c>
      <c r="L63" s="3">
        <f t="shared" si="3"/>
        <v>0.86836095590570461</v>
      </c>
      <c r="M63" s="3">
        <f t="shared" si="4"/>
        <v>-1.4690880101395929</v>
      </c>
      <c r="N63" s="3">
        <f t="shared" si="5"/>
        <v>1.4896252544247224</v>
      </c>
      <c r="O63" s="3">
        <f t="shared" si="6"/>
        <v>3.4286935319349857E-2</v>
      </c>
      <c r="P63" s="3">
        <f t="shared" si="7"/>
        <v>0.50857089418868751</v>
      </c>
      <c r="Q63" s="3">
        <f t="shared" si="8"/>
        <v>-0.67615065494450699</v>
      </c>
      <c r="R63" s="3">
        <f t="shared" si="10"/>
        <v>0.49142910581131249</v>
      </c>
    </row>
    <row r="64" spans="1:18" x14ac:dyDescent="0.3">
      <c r="A64" s="2">
        <v>60</v>
      </c>
      <c r="B64" s="2">
        <v>1</v>
      </c>
      <c r="C64" s="2">
        <v>21</v>
      </c>
      <c r="D64" s="2">
        <f t="shared" si="9"/>
        <v>441</v>
      </c>
      <c r="E64" s="2">
        <v>72.392600000000002</v>
      </c>
      <c r="F64" s="2">
        <v>175.72239999999999</v>
      </c>
      <c r="G64" s="2">
        <v>0.39525900000000003</v>
      </c>
      <c r="H64" s="2">
        <v>5</v>
      </c>
      <c r="I64" s="3">
        <f t="shared" si="0"/>
        <v>-1.1059317443873902</v>
      </c>
      <c r="J64" s="3">
        <f t="shared" si="1"/>
        <v>-1.0705085555568892</v>
      </c>
      <c r="K64" s="3">
        <f t="shared" si="2"/>
        <v>-0.24278206391464313</v>
      </c>
      <c r="L64" s="3">
        <f t="shared" si="3"/>
        <v>-0.40737996306784013</v>
      </c>
      <c r="M64" s="3">
        <f t="shared" si="4"/>
        <v>-0.33292882538883684</v>
      </c>
      <c r="N64" s="3">
        <f t="shared" si="5"/>
        <v>0.90176998432814681</v>
      </c>
      <c r="O64" s="3">
        <f t="shared" si="6"/>
        <v>0.14674406076217517</v>
      </c>
      <c r="P64" s="3">
        <f t="shared" si="7"/>
        <v>0.53662032414279393</v>
      </c>
      <c r="Q64" s="3">
        <f t="shared" si="8"/>
        <v>-0.62246446592928772</v>
      </c>
      <c r="R64" s="3">
        <f t="shared" si="10"/>
        <v>0.46337967585720607</v>
      </c>
    </row>
    <row r="65" spans="1:18" x14ac:dyDescent="0.3">
      <c r="A65" s="2">
        <v>61</v>
      </c>
      <c r="B65" s="2">
        <v>0</v>
      </c>
      <c r="C65" s="2">
        <v>19</v>
      </c>
      <c r="D65" s="2">
        <f t="shared" si="9"/>
        <v>361</v>
      </c>
      <c r="E65" s="2">
        <v>63.745800000000003</v>
      </c>
      <c r="F65" s="2">
        <v>177.34450000000001</v>
      </c>
      <c r="G65" s="2">
        <v>0.181779</v>
      </c>
      <c r="H65" s="2">
        <v>2</v>
      </c>
      <c r="I65" s="3">
        <f t="shared" si="0"/>
        <v>-1.4118179964652189</v>
      </c>
      <c r="J65" s="3">
        <f t="shared" si="1"/>
        <v>-1.2853099823159346</v>
      </c>
      <c r="K65" s="3">
        <f t="shared" si="2"/>
        <v>-1.1168476000356531</v>
      </c>
      <c r="L65" s="3">
        <f t="shared" si="3"/>
        <v>-0.24334789630444145</v>
      </c>
      <c r="M65" s="3">
        <f t="shared" si="4"/>
        <v>-1.0788815143259505</v>
      </c>
      <c r="N65" s="3">
        <f t="shared" si="5"/>
        <v>-0.86179582596158</v>
      </c>
      <c r="O65" s="3">
        <f t="shared" si="6"/>
        <v>0.21219563932320384</v>
      </c>
      <c r="P65" s="3">
        <f t="shared" si="7"/>
        <v>0.55285074931531675</v>
      </c>
      <c r="Q65" s="3">
        <f t="shared" si="8"/>
        <v>-0.80486284594963509</v>
      </c>
      <c r="R65" s="3">
        <f t="shared" si="10"/>
        <v>-0.55285074931531675</v>
      </c>
    </row>
    <row r="66" spans="1:18" x14ac:dyDescent="0.3">
      <c r="A66" s="2">
        <v>62</v>
      </c>
      <c r="B66" s="2">
        <v>0</v>
      </c>
      <c r="C66" s="2">
        <v>23</v>
      </c>
      <c r="D66" s="2">
        <f t="shared" si="9"/>
        <v>529</v>
      </c>
      <c r="E66" s="2">
        <v>73.509600000000006</v>
      </c>
      <c r="F66" s="2">
        <v>184.83430000000001</v>
      </c>
      <c r="G66" s="2">
        <v>0.15681300000000001</v>
      </c>
      <c r="H66" s="2">
        <v>3</v>
      </c>
      <c r="I66" s="3">
        <f t="shared" si="0"/>
        <v>-0.80004549230956135</v>
      </c>
      <c r="J66" s="3">
        <f t="shared" si="1"/>
        <v>-0.83422698612193913</v>
      </c>
      <c r="K66" s="3">
        <f t="shared" si="2"/>
        <v>-0.12986963343779942</v>
      </c>
      <c r="L66" s="3">
        <f t="shared" si="3"/>
        <v>0.51404521980707474</v>
      </c>
      <c r="M66" s="3">
        <f t="shared" si="4"/>
        <v>-1.1661189830911929</v>
      </c>
      <c r="N66" s="3">
        <f t="shared" si="5"/>
        <v>-0.27394055586500432</v>
      </c>
      <c r="O66" s="3">
        <f t="shared" si="6"/>
        <v>0.17315492220235981</v>
      </c>
      <c r="P66" s="3">
        <f t="shared" si="7"/>
        <v>0.54318089470383535</v>
      </c>
      <c r="Q66" s="3">
        <f t="shared" si="8"/>
        <v>-0.78346779731143135</v>
      </c>
      <c r="R66" s="3">
        <f t="shared" si="10"/>
        <v>-0.54318089470383535</v>
      </c>
    </row>
    <row r="67" spans="1:18" x14ac:dyDescent="0.3">
      <c r="A67" s="2">
        <v>63</v>
      </c>
      <c r="B67" s="2">
        <v>1</v>
      </c>
      <c r="C67" s="2">
        <v>39</v>
      </c>
      <c r="D67" s="2">
        <f t="shared" si="9"/>
        <v>1521</v>
      </c>
      <c r="E67" s="2">
        <v>74.933499999999995</v>
      </c>
      <c r="F67" s="2">
        <v>174.53489999999999</v>
      </c>
      <c r="G67" s="2">
        <v>0.82730199999999998</v>
      </c>
      <c r="H67" s="2">
        <v>3</v>
      </c>
      <c r="I67" s="3">
        <f t="shared" si="0"/>
        <v>1.6470445243130687</v>
      </c>
      <c r="J67" s="3">
        <f t="shared" si="1"/>
        <v>1.829310705690224</v>
      </c>
      <c r="K67" s="3">
        <f t="shared" si="2"/>
        <v>1.4065916925652575E-2</v>
      </c>
      <c r="L67" s="3">
        <f t="shared" si="3"/>
        <v>-0.52746385387699724</v>
      </c>
      <c r="M67" s="3">
        <f t="shared" si="4"/>
        <v>1.176737829972121</v>
      </c>
      <c r="N67" s="3">
        <f t="shared" si="5"/>
        <v>-0.27394055586500432</v>
      </c>
      <c r="O67" s="3">
        <f t="shared" si="6"/>
        <v>-6.8277701890732789E-2</v>
      </c>
      <c r="P67" s="3">
        <f t="shared" si="7"/>
        <v>0.48293720268810053</v>
      </c>
      <c r="Q67" s="3">
        <f t="shared" si="8"/>
        <v>-0.72786864892077341</v>
      </c>
      <c r="R67" s="3">
        <f t="shared" si="10"/>
        <v>0.51706279731189952</v>
      </c>
    </row>
    <row r="68" spans="1:18" x14ac:dyDescent="0.3">
      <c r="A68" s="2">
        <v>64</v>
      </c>
      <c r="B68" s="2">
        <v>1</v>
      </c>
      <c r="C68" s="2">
        <v>27</v>
      </c>
      <c r="D68" s="2">
        <f t="shared" si="9"/>
        <v>729</v>
      </c>
      <c r="E68" s="2">
        <v>61.808500000000002</v>
      </c>
      <c r="F68" s="2">
        <v>174.84280000000001</v>
      </c>
      <c r="G68" s="2">
        <v>4.1915000000000001E-2</v>
      </c>
      <c r="H68" s="2">
        <v>5</v>
      </c>
      <c r="I68" s="3">
        <f t="shared" si="0"/>
        <v>-0.18827298815390386</v>
      </c>
      <c r="J68" s="3">
        <f t="shared" si="1"/>
        <v>-0.29722341922432566</v>
      </c>
      <c r="K68" s="3">
        <f t="shared" si="2"/>
        <v>-1.3126804125359115</v>
      </c>
      <c r="L68" s="3">
        <f t="shared" si="3"/>
        <v>-0.49632799705161484</v>
      </c>
      <c r="M68" s="3">
        <f t="shared" si="4"/>
        <v>-1.5676014266620026</v>
      </c>
      <c r="N68" s="3">
        <f t="shared" si="5"/>
        <v>0.90176998432814681</v>
      </c>
      <c r="O68" s="3">
        <f t="shared" si="6"/>
        <v>-9.9417236407514167E-3</v>
      </c>
      <c r="P68" s="3">
        <f t="shared" si="7"/>
        <v>0.49751458956083439</v>
      </c>
      <c r="Q68" s="3">
        <f t="shared" si="8"/>
        <v>-0.69813039706306013</v>
      </c>
      <c r="R68" s="3">
        <f t="shared" si="10"/>
        <v>0.50248541043916561</v>
      </c>
    </row>
    <row r="69" spans="1:18" x14ac:dyDescent="0.3">
      <c r="A69" s="2">
        <v>65</v>
      </c>
      <c r="B69" s="2">
        <v>1</v>
      </c>
      <c r="C69" s="2">
        <v>21</v>
      </c>
      <c r="D69" s="2">
        <f t="shared" si="9"/>
        <v>441</v>
      </c>
      <c r="E69" s="2">
        <v>83.044399999999996</v>
      </c>
      <c r="F69" s="2">
        <v>182.97980000000001</v>
      </c>
      <c r="G69" s="2">
        <v>0.41918299999999997</v>
      </c>
      <c r="H69" s="2">
        <v>2</v>
      </c>
      <c r="I69" s="3">
        <f t="shared" ref="I69:I132" si="11">(C69-$V$3)/$W$3</f>
        <v>-1.1059317443873902</v>
      </c>
      <c r="J69" s="3">
        <f t="shared" ref="J69:J132" si="12" xml:space="preserve"> (D69- $V$8)/$W$8</f>
        <v>-1.0705085555568892</v>
      </c>
      <c r="K69" s="3">
        <f t="shared" ref="K69:K132" si="13">(E69-$V$4)/$W$4</f>
        <v>0.8339597686307807</v>
      </c>
      <c r="L69" s="3">
        <f t="shared" ref="L69:L132" si="14">(F69-$V$5)/$W$5</f>
        <v>0.32651210359184774</v>
      </c>
      <c r="M69" s="3">
        <f t="shared" ref="M69:M132" si="15">(G69-$V$6)/$W$6</f>
        <v>-0.2493323660946104</v>
      </c>
      <c r="N69" s="3">
        <f t="shared" ref="N69:N132" si="16">(H69-$V$7)/$W$7</f>
        <v>-0.86179582596158</v>
      </c>
      <c r="O69" s="3">
        <f t="shared" ref="O69:O132" si="17">$V$11+$V$12*I69+$V$17*J69+$V$13*K69+$V$14*L69+$V$15*M69+$V$16*N69</f>
        <v>0.25538384051436874</v>
      </c>
      <c r="P69" s="3">
        <f t="shared" ref="P69:P132" si="18">1/(1+EXP(-O69))</f>
        <v>0.56350120089146494</v>
      </c>
      <c r="Q69" s="3">
        <f t="shared" ref="Q69:Q132" si="19">B69*LN(P69)+(1-B69)*LN(1-P69)</f>
        <v>-0.57358581437509171</v>
      </c>
      <c r="R69" s="3">
        <f t="shared" si="10"/>
        <v>0.43649879910853506</v>
      </c>
    </row>
    <row r="70" spans="1:18" x14ac:dyDescent="0.3">
      <c r="A70" s="2">
        <v>66</v>
      </c>
      <c r="B70" s="2">
        <v>1</v>
      </c>
      <c r="C70" s="2">
        <v>39</v>
      </c>
      <c r="D70" s="2">
        <f t="shared" ref="D70:D133" si="20">C70^2</f>
        <v>1521</v>
      </c>
      <c r="E70" s="2">
        <v>73.427899999999994</v>
      </c>
      <c r="F70" s="2">
        <v>187.60900000000001</v>
      </c>
      <c r="G70" s="2">
        <v>0.16820399999999999</v>
      </c>
      <c r="H70" s="2">
        <v>1</v>
      </c>
      <c r="I70" s="3">
        <f t="shared" si="11"/>
        <v>1.6470445243130687</v>
      </c>
      <c r="J70" s="3">
        <f t="shared" si="12"/>
        <v>1.829310705690224</v>
      </c>
      <c r="K70" s="3">
        <f t="shared" si="13"/>
        <v>-0.13812831344671569</v>
      </c>
      <c r="L70" s="3">
        <f t="shared" si="14"/>
        <v>0.79463197503079508</v>
      </c>
      <c r="M70" s="3">
        <f t="shared" si="15"/>
        <v>-1.1263159707261816</v>
      </c>
      <c r="N70" s="3">
        <f t="shared" si="16"/>
        <v>-1.4496510960581555</v>
      </c>
      <c r="O70" s="3">
        <f t="shared" si="17"/>
        <v>6.6664464719793426E-2</v>
      </c>
      <c r="P70" s="3">
        <f t="shared" si="18"/>
        <v>0.51665994669387205</v>
      </c>
      <c r="Q70" s="3">
        <f t="shared" si="19"/>
        <v>-0.66037036422049566</v>
      </c>
      <c r="R70" s="3">
        <f t="shared" ref="R70:R133" si="21">B70-P70</f>
        <v>0.48334005330612795</v>
      </c>
    </row>
    <row r="71" spans="1:18" x14ac:dyDescent="0.3">
      <c r="A71" s="2">
        <v>67</v>
      </c>
      <c r="B71" s="2">
        <v>1</v>
      </c>
      <c r="C71" s="2">
        <v>35</v>
      </c>
      <c r="D71" s="2">
        <f t="shared" si="20"/>
        <v>1225</v>
      </c>
      <c r="E71" s="2">
        <v>85.804599999999994</v>
      </c>
      <c r="F71" s="2">
        <v>178.00470000000001</v>
      </c>
      <c r="G71" s="2">
        <v>0.87932999999999995</v>
      </c>
      <c r="H71" s="2">
        <v>1</v>
      </c>
      <c r="I71" s="3">
        <f t="shared" si="11"/>
        <v>1.0352720201574113</v>
      </c>
      <c r="J71" s="3">
        <f t="shared" si="12"/>
        <v>1.034545426681756</v>
      </c>
      <c r="K71" s="3">
        <f t="shared" si="13"/>
        <v>1.1129757852844804</v>
      </c>
      <c r="L71" s="3">
        <f t="shared" si="14"/>
        <v>-0.17658630917837331</v>
      </c>
      <c r="M71" s="3">
        <f t="shared" si="15"/>
        <v>1.3585367174558203</v>
      </c>
      <c r="N71" s="3">
        <f t="shared" si="16"/>
        <v>-1.4496510960581555</v>
      </c>
      <c r="O71" s="3">
        <f t="shared" si="17"/>
        <v>1.3421336553113422E-3</v>
      </c>
      <c r="P71" s="3">
        <f t="shared" si="18"/>
        <v>0.50033553336346082</v>
      </c>
      <c r="Q71" s="3">
        <f t="shared" si="19"/>
        <v>-0.69247633889761639</v>
      </c>
      <c r="R71" s="3">
        <f t="shared" si="21"/>
        <v>0.49966446663653918</v>
      </c>
    </row>
    <row r="72" spans="1:18" x14ac:dyDescent="0.3">
      <c r="A72" s="2">
        <v>68</v>
      </c>
      <c r="B72" s="2">
        <v>0</v>
      </c>
      <c r="C72" s="2">
        <v>29</v>
      </c>
      <c r="D72" s="2">
        <f t="shared" si="20"/>
        <v>841</v>
      </c>
      <c r="E72" s="2">
        <v>56.550899999999999</v>
      </c>
      <c r="F72" s="2">
        <v>168.3681</v>
      </c>
      <c r="G72" s="2">
        <v>0.55704100000000001</v>
      </c>
      <c r="H72" s="2">
        <v>1</v>
      </c>
      <c r="I72" s="3">
        <f t="shared" si="11"/>
        <v>0.1176132639239249</v>
      </c>
      <c r="J72" s="3">
        <f t="shared" si="12"/>
        <v>3.4985782383379449E-3</v>
      </c>
      <c r="K72" s="3">
        <f t="shared" si="13"/>
        <v>-1.8441471936236926</v>
      </c>
      <c r="L72" s="3">
        <f t="shared" si="14"/>
        <v>-1.1510708752175529</v>
      </c>
      <c r="M72" s="3">
        <f t="shared" si="15"/>
        <v>0.23237807887209663</v>
      </c>
      <c r="N72" s="3">
        <f t="shared" si="16"/>
        <v>-1.4496510960581555</v>
      </c>
      <c r="O72" s="3">
        <f t="shared" si="17"/>
        <v>-0.1323182873658551</v>
      </c>
      <c r="P72" s="3">
        <f t="shared" si="18"/>
        <v>0.46696860725909717</v>
      </c>
      <c r="Q72" s="3">
        <f t="shared" si="19"/>
        <v>-0.62917495835015524</v>
      </c>
      <c r="R72" s="3">
        <f t="shared" si="21"/>
        <v>-0.46696860725909717</v>
      </c>
    </row>
    <row r="73" spans="1:18" x14ac:dyDescent="0.3">
      <c r="A73" s="2">
        <v>69</v>
      </c>
      <c r="B73" s="2">
        <v>0</v>
      </c>
      <c r="C73" s="2">
        <v>19</v>
      </c>
      <c r="D73" s="2">
        <f t="shared" si="20"/>
        <v>361</v>
      </c>
      <c r="E73" s="2">
        <v>64.828100000000006</v>
      </c>
      <c r="F73" s="2">
        <v>172.642</v>
      </c>
      <c r="G73" s="2">
        <v>0.231381</v>
      </c>
      <c r="H73" s="2">
        <v>3</v>
      </c>
      <c r="I73" s="3">
        <f t="shared" si="11"/>
        <v>-1.4118179964652189</v>
      </c>
      <c r="J73" s="3">
        <f t="shared" si="12"/>
        <v>-1.2853099823159346</v>
      </c>
      <c r="K73" s="3">
        <f t="shared" si="13"/>
        <v>-1.0074428341403194</v>
      </c>
      <c r="L73" s="3">
        <f t="shared" si="14"/>
        <v>-0.71888010390870527</v>
      </c>
      <c r="M73" s="3">
        <f t="shared" si="15"/>
        <v>-0.90555967960298478</v>
      </c>
      <c r="N73" s="3">
        <f t="shared" si="16"/>
        <v>-0.27394055586500432</v>
      </c>
      <c r="O73" s="3">
        <f t="shared" si="17"/>
        <v>0.19278232207532389</v>
      </c>
      <c r="P73" s="3">
        <f t="shared" si="18"/>
        <v>0.54804686736281405</v>
      </c>
      <c r="Q73" s="3">
        <f t="shared" si="19"/>
        <v>-0.79417679338175018</v>
      </c>
      <c r="R73" s="3">
        <f t="shared" si="21"/>
        <v>-0.54804686736281405</v>
      </c>
    </row>
    <row r="74" spans="1:18" x14ac:dyDescent="0.3">
      <c r="A74" s="2">
        <v>70</v>
      </c>
      <c r="B74" s="2">
        <v>0</v>
      </c>
      <c r="C74" s="2">
        <v>27</v>
      </c>
      <c r="D74" s="2">
        <f t="shared" si="20"/>
        <v>729</v>
      </c>
      <c r="E74" s="2">
        <v>80.166700000000006</v>
      </c>
      <c r="F74" s="2">
        <v>182.0367</v>
      </c>
      <c r="G74" s="2">
        <v>0.50242699999999996</v>
      </c>
      <c r="H74" s="2">
        <v>2</v>
      </c>
      <c r="I74" s="3">
        <f t="shared" si="11"/>
        <v>-0.18827298815390386</v>
      </c>
      <c r="J74" s="3">
        <f t="shared" si="12"/>
        <v>-0.29722341922432566</v>
      </c>
      <c r="K74" s="3">
        <f t="shared" si="13"/>
        <v>0.54306621340856875</v>
      </c>
      <c r="L74" s="3">
        <f t="shared" si="14"/>
        <v>0.23114274155216943</v>
      </c>
      <c r="M74" s="3">
        <f t="shared" si="15"/>
        <v>4.1543058478563023E-2</v>
      </c>
      <c r="N74" s="3">
        <f t="shared" si="16"/>
        <v>-0.86179582596158</v>
      </c>
      <c r="O74" s="3">
        <f t="shared" si="17"/>
        <v>8.4783381996727816E-2</v>
      </c>
      <c r="P74" s="3">
        <f t="shared" si="18"/>
        <v>0.52118315791588543</v>
      </c>
      <c r="Q74" s="3">
        <f t="shared" si="19"/>
        <v>-0.73643713030269198</v>
      </c>
      <c r="R74" s="3">
        <f t="shared" si="21"/>
        <v>-0.52118315791588543</v>
      </c>
    </row>
    <row r="75" spans="1:18" x14ac:dyDescent="0.3">
      <c r="A75" s="2">
        <v>71</v>
      </c>
      <c r="B75" s="2">
        <v>1</v>
      </c>
      <c r="C75" s="2">
        <v>21</v>
      </c>
      <c r="D75" s="2">
        <f t="shared" si="20"/>
        <v>441</v>
      </c>
      <c r="E75" s="2">
        <v>67.008899999999997</v>
      </c>
      <c r="F75" s="2">
        <v>181.9152</v>
      </c>
      <c r="G75" s="2">
        <v>0.73148599999999997</v>
      </c>
      <c r="H75" s="2">
        <v>2</v>
      </c>
      <c r="I75" s="3">
        <f t="shared" si="11"/>
        <v>-1.1059317443873902</v>
      </c>
      <c r="J75" s="3">
        <f t="shared" si="12"/>
        <v>-1.0705085555568892</v>
      </c>
      <c r="K75" s="3">
        <f t="shared" si="13"/>
        <v>-0.78699571830871795</v>
      </c>
      <c r="L75" s="3">
        <f t="shared" si="14"/>
        <v>0.2188562634609591</v>
      </c>
      <c r="M75" s="3">
        <f t="shared" si="15"/>
        <v>0.84193268268338917</v>
      </c>
      <c r="N75" s="3">
        <f t="shared" si="16"/>
        <v>-0.86179582596158</v>
      </c>
      <c r="O75" s="3">
        <f t="shared" si="17"/>
        <v>0.10024123881878438</v>
      </c>
      <c r="P75" s="3">
        <f t="shared" si="18"/>
        <v>0.52503934629750348</v>
      </c>
      <c r="Q75" s="3">
        <f t="shared" si="19"/>
        <v>-0.64428207387019609</v>
      </c>
      <c r="R75" s="3">
        <f t="shared" si="21"/>
        <v>0.47496065370249652</v>
      </c>
    </row>
    <row r="76" spans="1:18" x14ac:dyDescent="0.3">
      <c r="A76" s="2">
        <v>72</v>
      </c>
      <c r="B76" s="2">
        <v>1</v>
      </c>
      <c r="C76" s="2">
        <v>31</v>
      </c>
      <c r="D76" s="2">
        <f t="shared" si="20"/>
        <v>961</v>
      </c>
      <c r="E76" s="2">
        <v>73.354600000000005</v>
      </c>
      <c r="F76" s="2">
        <v>182.41239999999999</v>
      </c>
      <c r="G76" s="2">
        <v>0.95811800000000003</v>
      </c>
      <c r="H76" s="2">
        <v>3</v>
      </c>
      <c r="I76" s="3">
        <f t="shared" si="11"/>
        <v>0.42349951600175367</v>
      </c>
      <c r="J76" s="3">
        <f t="shared" si="12"/>
        <v>0.32570071837690606</v>
      </c>
      <c r="K76" s="3">
        <f t="shared" si="13"/>
        <v>-0.1455378758047742</v>
      </c>
      <c r="L76" s="3">
        <f t="shared" si="14"/>
        <v>0.26913475652227448</v>
      </c>
      <c r="M76" s="3">
        <f t="shared" si="15"/>
        <v>1.6338417598765498</v>
      </c>
      <c r="N76" s="3">
        <f t="shared" si="16"/>
        <v>-0.27394055586500432</v>
      </c>
      <c r="O76" s="3">
        <f t="shared" si="17"/>
        <v>-8.4144392082152131E-2</v>
      </c>
      <c r="P76" s="3">
        <f t="shared" si="18"/>
        <v>0.47897630498429139</v>
      </c>
      <c r="Q76" s="3">
        <f t="shared" si="19"/>
        <v>-0.73610415046850075</v>
      </c>
      <c r="R76" s="3">
        <f t="shared" si="21"/>
        <v>0.52102369501570855</v>
      </c>
    </row>
    <row r="77" spans="1:18" x14ac:dyDescent="0.3">
      <c r="A77" s="2">
        <v>73</v>
      </c>
      <c r="B77" s="2">
        <v>1</v>
      </c>
      <c r="C77" s="2">
        <v>33</v>
      </c>
      <c r="D77" s="2">
        <f t="shared" si="20"/>
        <v>1089</v>
      </c>
      <c r="E77" s="2">
        <v>75.007000000000005</v>
      </c>
      <c r="F77" s="2">
        <v>185.21299999999999</v>
      </c>
      <c r="G77" s="2">
        <v>0.220446</v>
      </c>
      <c r="H77" s="2">
        <v>1</v>
      </c>
      <c r="I77" s="3">
        <f t="shared" si="11"/>
        <v>0.72938576807958244</v>
      </c>
      <c r="J77" s="3">
        <f t="shared" si="12"/>
        <v>0.66938300119137872</v>
      </c>
      <c r="K77" s="3">
        <f t="shared" si="13"/>
        <v>2.1495696370638338E-2</v>
      </c>
      <c r="L77" s="3">
        <f t="shared" si="14"/>
        <v>0.55234060460659096</v>
      </c>
      <c r="M77" s="3">
        <f t="shared" si="15"/>
        <v>-0.94376931354306048</v>
      </c>
      <c r="N77" s="3">
        <f t="shared" si="16"/>
        <v>-1.4496510960581555</v>
      </c>
      <c r="O77" s="3">
        <f t="shared" si="17"/>
        <v>4.7671556599657695E-2</v>
      </c>
      <c r="P77" s="3">
        <f t="shared" si="18"/>
        <v>0.51191563263568596</v>
      </c>
      <c r="Q77" s="3">
        <f t="shared" si="19"/>
        <v>-0.66959544752877231</v>
      </c>
      <c r="R77" s="3">
        <f t="shared" si="21"/>
        <v>0.48808436736431404</v>
      </c>
    </row>
    <row r="78" spans="1:18" x14ac:dyDescent="0.3">
      <c r="A78" s="2">
        <v>74</v>
      </c>
      <c r="B78" s="2">
        <v>1</v>
      </c>
      <c r="C78" s="2">
        <v>32</v>
      </c>
      <c r="D78" s="2">
        <f t="shared" si="20"/>
        <v>1024</v>
      </c>
      <c r="E78" s="2">
        <v>76.582599999999999</v>
      </c>
      <c r="F78" s="2">
        <v>180.0581</v>
      </c>
      <c r="G78" s="2">
        <v>0.88618200000000003</v>
      </c>
      <c r="H78" s="2">
        <v>1</v>
      </c>
      <c r="I78" s="3">
        <f t="shared" si="11"/>
        <v>0.57644264204066809</v>
      </c>
      <c r="J78" s="3">
        <f t="shared" si="12"/>
        <v>0.49485684194965435</v>
      </c>
      <c r="K78" s="3">
        <f t="shared" si="13"/>
        <v>0.18076590716680094</v>
      </c>
      <c r="L78" s="3">
        <f t="shared" si="14"/>
        <v>3.1060226726907669E-2</v>
      </c>
      <c r="M78" s="3">
        <f t="shared" si="15"/>
        <v>1.3824793248410421</v>
      </c>
      <c r="N78" s="3">
        <f t="shared" si="16"/>
        <v>-1.4496510960581555</v>
      </c>
      <c r="O78" s="3">
        <f t="shared" si="17"/>
        <v>-4.8077138580215797E-2</v>
      </c>
      <c r="P78" s="3">
        <f t="shared" si="18"/>
        <v>0.48798302994576659</v>
      </c>
      <c r="Q78" s="3">
        <f t="shared" si="19"/>
        <v>-0.7174746484349418</v>
      </c>
      <c r="R78" s="3">
        <f t="shared" si="21"/>
        <v>0.51201697005423341</v>
      </c>
    </row>
    <row r="79" spans="1:18" x14ac:dyDescent="0.3">
      <c r="A79" s="2">
        <v>75</v>
      </c>
      <c r="B79" s="2">
        <v>0</v>
      </c>
      <c r="C79" s="2">
        <v>25</v>
      </c>
      <c r="D79" s="2">
        <f t="shared" si="20"/>
        <v>625</v>
      </c>
      <c r="E79" s="2">
        <v>68.224299999999999</v>
      </c>
      <c r="F79" s="2">
        <v>182.6506</v>
      </c>
      <c r="G79" s="2">
        <v>0.93430400000000002</v>
      </c>
      <c r="H79" s="2">
        <v>5</v>
      </c>
      <c r="I79" s="3">
        <f t="shared" si="11"/>
        <v>-0.49415924023173263</v>
      </c>
      <c r="J79" s="3">
        <f t="shared" si="12"/>
        <v>-0.57646527401108472</v>
      </c>
      <c r="K79" s="3">
        <f t="shared" si="13"/>
        <v>-0.66413648106471124</v>
      </c>
      <c r="L79" s="3">
        <f t="shared" si="14"/>
        <v>0.29322232097763612</v>
      </c>
      <c r="M79" s="3">
        <f t="shared" si="15"/>
        <v>1.5506296681848297</v>
      </c>
      <c r="N79" s="3">
        <f t="shared" si="16"/>
        <v>0.90176998432814681</v>
      </c>
      <c r="O79" s="3">
        <f t="shared" si="17"/>
        <v>-4.4499558582833269E-2</v>
      </c>
      <c r="P79" s="3">
        <f t="shared" si="18"/>
        <v>0.48887694579297603</v>
      </c>
      <c r="Q79" s="3">
        <f t="shared" si="19"/>
        <v>-0.6711449071873864</v>
      </c>
      <c r="R79" s="3">
        <f t="shared" si="21"/>
        <v>-0.48887694579297603</v>
      </c>
    </row>
    <row r="80" spans="1:18" x14ac:dyDescent="0.3">
      <c r="A80" s="2">
        <v>76</v>
      </c>
      <c r="B80" s="2">
        <v>0</v>
      </c>
      <c r="C80" s="2">
        <v>31</v>
      </c>
      <c r="D80" s="2">
        <f t="shared" si="20"/>
        <v>961</v>
      </c>
      <c r="E80" s="2">
        <v>76.492900000000006</v>
      </c>
      <c r="F80" s="2">
        <v>179.5497</v>
      </c>
      <c r="G80" s="2">
        <v>0.91642100000000004</v>
      </c>
      <c r="H80" s="2">
        <v>6</v>
      </c>
      <c r="I80" s="3">
        <f t="shared" si="11"/>
        <v>0.42349951600175367</v>
      </c>
      <c r="J80" s="3">
        <f t="shared" si="12"/>
        <v>0.32570071837690606</v>
      </c>
      <c r="K80" s="3">
        <f t="shared" si="13"/>
        <v>0.17169854368088142</v>
      </c>
      <c r="L80" s="3">
        <f t="shared" si="14"/>
        <v>-2.0350847030881681E-2</v>
      </c>
      <c r="M80" s="3">
        <f t="shared" si="15"/>
        <v>1.4881419787700725</v>
      </c>
      <c r="N80" s="3">
        <f t="shared" si="16"/>
        <v>1.4896252544247224</v>
      </c>
      <c r="O80" s="3">
        <f t="shared" si="17"/>
        <v>-8.8456433562692963E-2</v>
      </c>
      <c r="P80" s="3">
        <f t="shared" si="18"/>
        <v>0.47790029973072112</v>
      </c>
      <c r="Q80" s="3">
        <f t="shared" si="19"/>
        <v>-0.64989671265260063</v>
      </c>
      <c r="R80" s="3">
        <f t="shared" si="21"/>
        <v>-0.47790029973072112</v>
      </c>
    </row>
    <row r="81" spans="1:18" x14ac:dyDescent="0.3">
      <c r="A81" s="2">
        <v>77</v>
      </c>
      <c r="B81" s="2">
        <v>1</v>
      </c>
      <c r="C81" s="2">
        <v>25</v>
      </c>
      <c r="D81" s="2">
        <f t="shared" si="20"/>
        <v>625</v>
      </c>
      <c r="E81" s="2">
        <v>67.174599999999998</v>
      </c>
      <c r="F81" s="2">
        <v>191.4873</v>
      </c>
      <c r="G81" s="2">
        <v>0.63541400000000003</v>
      </c>
      <c r="H81" s="2">
        <v>4</v>
      </c>
      <c r="I81" s="3">
        <f t="shared" si="11"/>
        <v>-0.49415924023173263</v>
      </c>
      <c r="J81" s="3">
        <f t="shared" si="12"/>
        <v>-0.57646527401108472</v>
      </c>
      <c r="K81" s="3">
        <f t="shared" si="13"/>
        <v>-0.77024586179124888</v>
      </c>
      <c r="L81" s="3">
        <f t="shared" si="14"/>
        <v>1.1868183781677666</v>
      </c>
      <c r="M81" s="3">
        <f t="shared" si="15"/>
        <v>0.50623300715609709</v>
      </c>
      <c r="N81" s="3">
        <f t="shared" si="16"/>
        <v>0.31391471423157125</v>
      </c>
      <c r="O81" s="3">
        <f t="shared" si="17"/>
        <v>2.1840983176961995E-2</v>
      </c>
      <c r="P81" s="3">
        <f t="shared" si="18"/>
        <v>0.50546002874683482</v>
      </c>
      <c r="Q81" s="3">
        <f t="shared" si="19"/>
        <v>-0.68228631635458048</v>
      </c>
      <c r="R81" s="3">
        <f t="shared" si="21"/>
        <v>0.49453997125316518</v>
      </c>
    </row>
    <row r="82" spans="1:18" x14ac:dyDescent="0.3">
      <c r="A82" s="2">
        <v>78</v>
      </c>
      <c r="B82" s="2">
        <v>0</v>
      </c>
      <c r="C82" s="2">
        <v>38</v>
      </c>
      <c r="D82" s="2">
        <f t="shared" si="20"/>
        <v>1444</v>
      </c>
      <c r="E82" s="2">
        <v>81.742800000000003</v>
      </c>
      <c r="F82" s="2">
        <v>194.32339999999999</v>
      </c>
      <c r="G82" s="2">
        <v>0.62982099999999996</v>
      </c>
      <c r="H82" s="2">
        <v>6</v>
      </c>
      <c r="I82" s="3">
        <f t="shared" si="11"/>
        <v>1.4941013982741542</v>
      </c>
      <c r="J82" s="3">
        <f t="shared" si="12"/>
        <v>1.6225643324346428</v>
      </c>
      <c r="K82" s="3">
        <f t="shared" si="13"/>
        <v>0.70238696692204439</v>
      </c>
      <c r="L82" s="3">
        <f t="shared" si="14"/>
        <v>1.4736141025667975</v>
      </c>
      <c r="M82" s="3">
        <f t="shared" si="15"/>
        <v>0.48668966169410843</v>
      </c>
      <c r="N82" s="3">
        <f t="shared" si="16"/>
        <v>1.4896252544247224</v>
      </c>
      <c r="O82" s="3">
        <f t="shared" si="17"/>
        <v>1.9970548517065933E-2</v>
      </c>
      <c r="P82" s="3">
        <f t="shared" si="18"/>
        <v>0.5049924712044207</v>
      </c>
      <c r="Q82" s="3">
        <f t="shared" si="19"/>
        <v>-0.70318230684107386</v>
      </c>
      <c r="R82" s="3">
        <f t="shared" si="21"/>
        <v>-0.5049924712044207</v>
      </c>
    </row>
    <row r="83" spans="1:18" x14ac:dyDescent="0.3">
      <c r="A83" s="2">
        <v>79</v>
      </c>
      <c r="B83" s="2">
        <v>0</v>
      </c>
      <c r="C83" s="2">
        <v>33</v>
      </c>
      <c r="D83" s="2">
        <f t="shared" si="20"/>
        <v>1089</v>
      </c>
      <c r="E83" s="2">
        <v>73.851600000000005</v>
      </c>
      <c r="F83" s="2">
        <v>168.10990000000001</v>
      </c>
      <c r="G83" s="2">
        <v>0.40321099999999999</v>
      </c>
      <c r="H83" s="2">
        <v>2</v>
      </c>
      <c r="I83" s="3">
        <f t="shared" si="11"/>
        <v>0.72938576807958244</v>
      </c>
      <c r="J83" s="3">
        <f t="shared" si="12"/>
        <v>0.66938300119137872</v>
      </c>
      <c r="K83" s="3">
        <f t="shared" si="13"/>
        <v>-9.5298414795829636E-2</v>
      </c>
      <c r="L83" s="3">
        <f t="shared" si="14"/>
        <v>-1.1771809052023301</v>
      </c>
      <c r="M83" s="3">
        <f t="shared" si="15"/>
        <v>-0.30514254197855067</v>
      </c>
      <c r="N83" s="3">
        <f t="shared" si="16"/>
        <v>-0.86179582596158</v>
      </c>
      <c r="O83" s="3">
        <f t="shared" si="17"/>
        <v>-3.5412364463483413E-2</v>
      </c>
      <c r="P83" s="3">
        <f t="shared" si="18"/>
        <v>0.49114783394237771</v>
      </c>
      <c r="Q83" s="3">
        <f t="shared" si="19"/>
        <v>-0.67559774458284816</v>
      </c>
      <c r="R83" s="3">
        <f t="shared" si="21"/>
        <v>-0.49114783394237771</v>
      </c>
    </row>
    <row r="84" spans="1:18" x14ac:dyDescent="0.3">
      <c r="A84" s="2">
        <v>80</v>
      </c>
      <c r="B84" s="2">
        <v>1</v>
      </c>
      <c r="C84" s="2">
        <v>30</v>
      </c>
      <c r="D84" s="2">
        <f t="shared" si="20"/>
        <v>900</v>
      </c>
      <c r="E84" s="2">
        <v>76.550399999999996</v>
      </c>
      <c r="F84" s="2">
        <v>177.44749999999999</v>
      </c>
      <c r="G84" s="2">
        <v>0.75239800000000001</v>
      </c>
      <c r="H84" s="2">
        <v>2</v>
      </c>
      <c r="I84" s="3">
        <f t="shared" si="11"/>
        <v>0.27055638996283926</v>
      </c>
      <c r="J84" s="3">
        <f t="shared" si="12"/>
        <v>0.16191463047313392</v>
      </c>
      <c r="K84" s="3">
        <f t="shared" si="13"/>
        <v>0.17751095617185492</v>
      </c>
      <c r="L84" s="3">
        <f t="shared" si="14"/>
        <v>-0.23293219882794394</v>
      </c>
      <c r="M84" s="3">
        <f t="shared" si="15"/>
        <v>0.91500445817080223</v>
      </c>
      <c r="N84" s="3">
        <f t="shared" si="16"/>
        <v>-0.86179582596158</v>
      </c>
      <c r="O84" s="3">
        <f t="shared" si="17"/>
        <v>-2.6844495518756804E-2</v>
      </c>
      <c r="P84" s="3">
        <f t="shared" si="18"/>
        <v>0.49328927910932563</v>
      </c>
      <c r="Q84" s="3">
        <f t="shared" si="19"/>
        <v>-0.70665950398220656</v>
      </c>
      <c r="R84" s="3">
        <f t="shared" si="21"/>
        <v>0.50671072089067437</v>
      </c>
    </row>
    <row r="85" spans="1:18" x14ac:dyDescent="0.3">
      <c r="A85" s="2">
        <v>81</v>
      </c>
      <c r="B85" s="2">
        <v>1</v>
      </c>
      <c r="C85" s="2">
        <v>35</v>
      </c>
      <c r="D85" s="2">
        <f t="shared" si="20"/>
        <v>1225</v>
      </c>
      <c r="E85" s="2">
        <v>100.69929999999999</v>
      </c>
      <c r="F85" s="2">
        <v>180.3272</v>
      </c>
      <c r="G85" s="2">
        <v>0.53129400000000004</v>
      </c>
      <c r="H85" s="2">
        <v>2</v>
      </c>
      <c r="I85" s="3">
        <f t="shared" si="11"/>
        <v>1.0352720201574113</v>
      </c>
      <c r="J85" s="3">
        <f t="shared" si="12"/>
        <v>1.034545426681756</v>
      </c>
      <c r="K85" s="3">
        <f t="shared" si="13"/>
        <v>2.6186130084030457</v>
      </c>
      <c r="L85" s="3">
        <f t="shared" si="14"/>
        <v>5.8272500425219455E-2</v>
      </c>
      <c r="M85" s="3">
        <f t="shared" si="15"/>
        <v>0.14241160012905824</v>
      </c>
      <c r="N85" s="3">
        <f t="shared" si="16"/>
        <v>-0.86179582596158</v>
      </c>
      <c r="O85" s="3">
        <f t="shared" si="17"/>
        <v>0.1489821929955365</v>
      </c>
      <c r="P85" s="3">
        <f t="shared" si="18"/>
        <v>0.53717680991556604</v>
      </c>
      <c r="Q85" s="3">
        <f t="shared" si="19"/>
        <v>-0.62142798370198271</v>
      </c>
      <c r="R85" s="3">
        <f t="shared" si="21"/>
        <v>0.46282319008443396</v>
      </c>
    </row>
    <row r="86" spans="1:18" x14ac:dyDescent="0.3">
      <c r="A86" s="2">
        <v>82</v>
      </c>
      <c r="B86" s="2">
        <v>1</v>
      </c>
      <c r="C86" s="2">
        <v>32</v>
      </c>
      <c r="D86" s="2">
        <f t="shared" si="20"/>
        <v>1024</v>
      </c>
      <c r="E86" s="2">
        <v>63.929000000000002</v>
      </c>
      <c r="F86" s="2">
        <v>177.33090000000001</v>
      </c>
      <c r="G86" s="2">
        <v>0.67743799999999998</v>
      </c>
      <c r="H86" s="2">
        <v>6</v>
      </c>
      <c r="I86" s="3">
        <f t="shared" si="11"/>
        <v>0.57644264204066809</v>
      </c>
      <c r="J86" s="3">
        <f t="shared" si="12"/>
        <v>0.49485684194965435</v>
      </c>
      <c r="K86" s="3">
        <f t="shared" si="13"/>
        <v>-1.0983287484122355</v>
      </c>
      <c r="L86" s="3">
        <f t="shared" si="14"/>
        <v>-0.24472317286444495</v>
      </c>
      <c r="M86" s="3">
        <f t="shared" si="15"/>
        <v>0.65307540831729816</v>
      </c>
      <c r="N86" s="3">
        <f t="shared" si="16"/>
        <v>1.4896252544247224</v>
      </c>
      <c r="O86" s="3">
        <f t="shared" si="17"/>
        <v>-0.14831233421586412</v>
      </c>
      <c r="P86" s="3">
        <f t="shared" si="18"/>
        <v>0.46298973309858249</v>
      </c>
      <c r="Q86" s="3">
        <f t="shared" si="19"/>
        <v>-0.77005039987484913</v>
      </c>
      <c r="R86" s="3">
        <f t="shared" si="21"/>
        <v>0.53701026690141751</v>
      </c>
    </row>
    <row r="87" spans="1:18" x14ac:dyDescent="0.3">
      <c r="A87" s="2">
        <v>83</v>
      </c>
      <c r="B87" s="2">
        <v>1</v>
      </c>
      <c r="C87" s="2">
        <v>38</v>
      </c>
      <c r="D87" s="2">
        <f t="shared" si="20"/>
        <v>1444</v>
      </c>
      <c r="E87" s="2">
        <v>88.885800000000003</v>
      </c>
      <c r="F87" s="2">
        <v>197.92920000000001</v>
      </c>
      <c r="G87" s="2">
        <v>0.42845800000000001</v>
      </c>
      <c r="H87" s="2">
        <v>4</v>
      </c>
      <c r="I87" s="3">
        <f t="shared" si="11"/>
        <v>1.4941013982741542</v>
      </c>
      <c r="J87" s="3">
        <f t="shared" si="12"/>
        <v>1.6225643324346428</v>
      </c>
      <c r="K87" s="3">
        <f t="shared" si="13"/>
        <v>1.4244402264530127</v>
      </c>
      <c r="L87" s="3">
        <f t="shared" si="14"/>
        <v>1.8382444128654591</v>
      </c>
      <c r="M87" s="3">
        <f t="shared" si="15"/>
        <v>-0.21692318870145061</v>
      </c>
      <c r="N87" s="3">
        <f t="shared" si="16"/>
        <v>0.31391471423157125</v>
      </c>
      <c r="O87" s="3">
        <f t="shared" si="17"/>
        <v>0.12205779208829377</v>
      </c>
      <c r="P87" s="3">
        <f t="shared" si="18"/>
        <v>0.53047662042379795</v>
      </c>
      <c r="Q87" s="3">
        <f t="shared" si="19"/>
        <v>-0.63397939273091897</v>
      </c>
      <c r="R87" s="3">
        <f t="shared" si="21"/>
        <v>0.46952337957620205</v>
      </c>
    </row>
    <row r="88" spans="1:18" x14ac:dyDescent="0.3">
      <c r="A88" s="2">
        <v>84</v>
      </c>
      <c r="B88" s="2">
        <v>1</v>
      </c>
      <c r="C88" s="2">
        <v>30</v>
      </c>
      <c r="D88" s="2">
        <f t="shared" si="20"/>
        <v>900</v>
      </c>
      <c r="E88" s="2">
        <v>48.406500000000001</v>
      </c>
      <c r="F88" s="2">
        <v>182.2396</v>
      </c>
      <c r="G88" s="2">
        <v>0.73149600000000004</v>
      </c>
      <c r="H88" s="2">
        <v>5</v>
      </c>
      <c r="I88" s="3">
        <f t="shared" si="11"/>
        <v>0.27055638996283926</v>
      </c>
      <c r="J88" s="3">
        <f t="shared" si="12"/>
        <v>0.16191463047313392</v>
      </c>
      <c r="K88" s="3">
        <f t="shared" si="13"/>
        <v>-2.6674274073887796</v>
      </c>
      <c r="L88" s="3">
        <f t="shared" si="14"/>
        <v>0.25166065434810875</v>
      </c>
      <c r="M88" s="3">
        <f t="shared" si="15"/>
        <v>0.84196762519270818</v>
      </c>
      <c r="N88" s="3">
        <f t="shared" si="16"/>
        <v>0.90176998432814681</v>
      </c>
      <c r="O88" s="3">
        <f t="shared" si="17"/>
        <v>-0.2236113996422171</v>
      </c>
      <c r="P88" s="3">
        <f t="shared" si="18"/>
        <v>0.44432892934328994</v>
      </c>
      <c r="Q88" s="3">
        <f t="shared" si="19"/>
        <v>-0.81119015897611835</v>
      </c>
      <c r="R88" s="3">
        <f t="shared" si="21"/>
        <v>0.55567107065671006</v>
      </c>
    </row>
    <row r="89" spans="1:18" x14ac:dyDescent="0.3">
      <c r="A89" s="2">
        <v>85</v>
      </c>
      <c r="B89" s="2">
        <v>1</v>
      </c>
      <c r="C89" s="2">
        <v>26</v>
      </c>
      <c r="D89" s="2">
        <f t="shared" si="20"/>
        <v>676</v>
      </c>
      <c r="E89" s="2">
        <v>54.216200000000001</v>
      </c>
      <c r="F89" s="2">
        <v>171.94630000000001</v>
      </c>
      <c r="G89" s="2">
        <v>0.82447199999999998</v>
      </c>
      <c r="H89" s="2">
        <v>6</v>
      </c>
      <c r="I89" s="3">
        <f t="shared" si="11"/>
        <v>-0.34121611419281822</v>
      </c>
      <c r="J89" s="3">
        <f t="shared" si="12"/>
        <v>-0.43952936445219321</v>
      </c>
      <c r="K89" s="3">
        <f t="shared" si="13"/>
        <v>-2.0801513578441813</v>
      </c>
      <c r="L89" s="3">
        <f t="shared" si="14"/>
        <v>-0.78923156734948774</v>
      </c>
      <c r="M89" s="3">
        <f t="shared" si="15"/>
        <v>1.166849099834909</v>
      </c>
      <c r="N89" s="3">
        <f t="shared" si="16"/>
        <v>1.4896252544247224</v>
      </c>
      <c r="O89" s="3">
        <f t="shared" si="17"/>
        <v>-0.17394590026757875</v>
      </c>
      <c r="P89" s="3">
        <f t="shared" si="18"/>
        <v>0.45662284234300876</v>
      </c>
      <c r="Q89" s="3">
        <f t="shared" si="19"/>
        <v>-0.78389751910531946</v>
      </c>
      <c r="R89" s="3">
        <f t="shared" si="21"/>
        <v>0.54337715765699124</v>
      </c>
    </row>
    <row r="90" spans="1:18" x14ac:dyDescent="0.3">
      <c r="A90" s="2">
        <v>86</v>
      </c>
      <c r="B90" s="2">
        <v>0</v>
      </c>
      <c r="C90" s="2">
        <v>32</v>
      </c>
      <c r="D90" s="2">
        <f t="shared" si="20"/>
        <v>1024</v>
      </c>
      <c r="E90" s="2">
        <v>62.593600000000002</v>
      </c>
      <c r="F90" s="2">
        <v>185.96440000000001</v>
      </c>
      <c r="G90" s="2">
        <v>0.14643600000000001</v>
      </c>
      <c r="H90" s="2">
        <v>4</v>
      </c>
      <c r="I90" s="3">
        <f t="shared" si="11"/>
        <v>0.57644264204066809</v>
      </c>
      <c r="J90" s="3">
        <f t="shared" si="12"/>
        <v>0.49485684194965435</v>
      </c>
      <c r="K90" s="3">
        <f t="shared" si="13"/>
        <v>-1.2333182378113192</v>
      </c>
      <c r="L90" s="3">
        <f t="shared" si="14"/>
        <v>0.62832463454680387</v>
      </c>
      <c r="M90" s="3">
        <f t="shared" si="15"/>
        <v>-1.202378825011281</v>
      </c>
      <c r="N90" s="3">
        <f t="shared" si="16"/>
        <v>0.31391471423157125</v>
      </c>
      <c r="O90" s="3">
        <f t="shared" si="17"/>
        <v>-4.1673693588414447E-2</v>
      </c>
      <c r="P90" s="3">
        <f t="shared" si="18"/>
        <v>0.48958308414457613</v>
      </c>
      <c r="Q90" s="3">
        <f t="shared" si="19"/>
        <v>-0.67252740515078402</v>
      </c>
      <c r="R90" s="3">
        <f t="shared" si="21"/>
        <v>-0.48958308414457613</v>
      </c>
    </row>
    <row r="91" spans="1:18" x14ac:dyDescent="0.3">
      <c r="A91" s="2">
        <v>87</v>
      </c>
      <c r="B91" s="2">
        <v>0</v>
      </c>
      <c r="C91" s="2">
        <v>30</v>
      </c>
      <c r="D91" s="2">
        <f t="shared" si="20"/>
        <v>900</v>
      </c>
      <c r="E91" s="2">
        <v>63.224699999999999</v>
      </c>
      <c r="F91" s="2">
        <v>182.7097</v>
      </c>
      <c r="G91" s="2">
        <v>0.83292999999999995</v>
      </c>
      <c r="H91" s="2">
        <v>1</v>
      </c>
      <c r="I91" s="3">
        <f t="shared" si="11"/>
        <v>0.27055638996283926</v>
      </c>
      <c r="J91" s="3">
        <f t="shared" si="12"/>
        <v>0.16191463047313392</v>
      </c>
      <c r="K91" s="3">
        <f t="shared" si="13"/>
        <v>-1.1695232200190762</v>
      </c>
      <c r="L91" s="3">
        <f t="shared" si="14"/>
        <v>0.2991987066170646</v>
      </c>
      <c r="M91" s="3">
        <f t="shared" si="15"/>
        <v>1.1964034742167249</v>
      </c>
      <c r="N91" s="3">
        <f t="shared" si="16"/>
        <v>-1.4496510960581555</v>
      </c>
      <c r="O91" s="3">
        <f t="shared" si="17"/>
        <v>-0.10658275045209432</v>
      </c>
      <c r="P91" s="3">
        <f t="shared" si="18"/>
        <v>0.47337950808913992</v>
      </c>
      <c r="Q91" s="3">
        <f t="shared" si="19"/>
        <v>-0.64127511905976231</v>
      </c>
      <c r="R91" s="3">
        <f t="shared" si="21"/>
        <v>-0.47337950808913992</v>
      </c>
    </row>
    <row r="92" spans="1:18" x14ac:dyDescent="0.3">
      <c r="A92" s="2">
        <v>88</v>
      </c>
      <c r="B92" s="2">
        <v>1</v>
      </c>
      <c r="C92" s="2">
        <v>18</v>
      </c>
      <c r="D92" s="2">
        <f t="shared" si="20"/>
        <v>324</v>
      </c>
      <c r="E92" s="2">
        <v>77.037000000000006</v>
      </c>
      <c r="F92" s="2">
        <v>183.0419</v>
      </c>
      <c r="G92" s="2">
        <v>0.54029700000000003</v>
      </c>
      <c r="H92" s="2">
        <v>1</v>
      </c>
      <c r="I92" s="3">
        <f t="shared" si="11"/>
        <v>-1.5647611225041334</v>
      </c>
      <c r="J92" s="3">
        <f t="shared" si="12"/>
        <v>-1.3846556421919931</v>
      </c>
      <c r="K92" s="3">
        <f t="shared" si="13"/>
        <v>0.2266991286606938</v>
      </c>
      <c r="L92" s="3">
        <f t="shared" si="14"/>
        <v>0.33279185906068737</v>
      </c>
      <c r="M92" s="3">
        <f t="shared" si="15"/>
        <v>0.17387034126874731</v>
      </c>
      <c r="N92" s="3">
        <f t="shared" si="16"/>
        <v>-1.4496510960581555</v>
      </c>
      <c r="O92" s="3">
        <f t="shared" si="17"/>
        <v>0.30310268426458004</v>
      </c>
      <c r="P92" s="3">
        <f t="shared" si="18"/>
        <v>0.57520081801430134</v>
      </c>
      <c r="Q92" s="3">
        <f t="shared" si="19"/>
        <v>-0.55303605043740078</v>
      </c>
      <c r="R92" s="3">
        <f t="shared" si="21"/>
        <v>0.42479918198569866</v>
      </c>
    </row>
    <row r="93" spans="1:18" x14ac:dyDescent="0.3">
      <c r="A93" s="2">
        <v>89</v>
      </c>
      <c r="B93" s="2">
        <v>0</v>
      </c>
      <c r="C93" s="2">
        <v>24</v>
      </c>
      <c r="D93" s="2">
        <f t="shared" si="20"/>
        <v>576</v>
      </c>
      <c r="E93" s="2">
        <v>77.898399999999995</v>
      </c>
      <c r="F93" s="2">
        <v>198.0788</v>
      </c>
      <c r="G93" s="2">
        <v>0.84466600000000003</v>
      </c>
      <c r="H93" s="2">
        <v>2</v>
      </c>
      <c r="I93" s="3">
        <f t="shared" si="11"/>
        <v>-0.64710236627064699</v>
      </c>
      <c r="J93" s="3">
        <f t="shared" si="12"/>
        <v>-0.70803114790099997</v>
      </c>
      <c r="K93" s="3">
        <f t="shared" si="13"/>
        <v>0.3137741220472216</v>
      </c>
      <c r="L93" s="3">
        <f t="shared" si="14"/>
        <v>1.8533724550255004</v>
      </c>
      <c r="M93" s="3">
        <f t="shared" si="15"/>
        <v>1.2374120031532343</v>
      </c>
      <c r="N93" s="3">
        <f t="shared" si="16"/>
        <v>-0.86179582596158</v>
      </c>
      <c r="O93" s="3">
        <f t="shared" si="17"/>
        <v>0.11544053719561689</v>
      </c>
      <c r="P93" s="3">
        <f t="shared" si="18"/>
        <v>0.52882812652939792</v>
      </c>
      <c r="Q93" s="3">
        <f t="shared" si="19"/>
        <v>-0.75253233970266664</v>
      </c>
      <c r="R93" s="3">
        <f t="shared" si="21"/>
        <v>-0.52882812652939792</v>
      </c>
    </row>
    <row r="94" spans="1:18" x14ac:dyDescent="0.3">
      <c r="A94" s="2">
        <v>90</v>
      </c>
      <c r="B94" s="2">
        <v>1</v>
      </c>
      <c r="C94" s="2">
        <v>26</v>
      </c>
      <c r="D94" s="2">
        <f t="shared" si="20"/>
        <v>676</v>
      </c>
      <c r="E94" s="2">
        <v>72.451800000000006</v>
      </c>
      <c r="F94" s="2">
        <v>183.50790000000001</v>
      </c>
      <c r="G94" s="2">
        <v>0.43130200000000002</v>
      </c>
      <c r="H94" s="2">
        <v>3</v>
      </c>
      <c r="I94" s="3">
        <f t="shared" si="11"/>
        <v>-0.34121611419281822</v>
      </c>
      <c r="J94" s="3">
        <f t="shared" si="12"/>
        <v>-0.43952936445219321</v>
      </c>
      <c r="K94" s="3">
        <f t="shared" si="13"/>
        <v>-0.23679780618480467</v>
      </c>
      <c r="L94" s="3">
        <f t="shared" si="14"/>
        <v>0.37991530589611322</v>
      </c>
      <c r="M94" s="3">
        <f t="shared" si="15"/>
        <v>-0.20698553905119221</v>
      </c>
      <c r="N94" s="3">
        <f t="shared" si="16"/>
        <v>-0.27394055586500432</v>
      </c>
      <c r="O94" s="3">
        <f t="shared" si="17"/>
        <v>5.6982144983810178E-2</v>
      </c>
      <c r="P94" s="3">
        <f t="shared" si="18"/>
        <v>0.51424168293415307</v>
      </c>
      <c r="Q94" s="3">
        <f t="shared" si="19"/>
        <v>-0.66506192377547679</v>
      </c>
      <c r="R94" s="3">
        <f t="shared" si="21"/>
        <v>0.48575831706584693</v>
      </c>
    </row>
    <row r="95" spans="1:18" x14ac:dyDescent="0.3">
      <c r="A95" s="2">
        <v>91</v>
      </c>
      <c r="B95" s="2">
        <v>1</v>
      </c>
      <c r="C95" s="2">
        <v>18</v>
      </c>
      <c r="D95" s="2">
        <f t="shared" si="20"/>
        <v>324</v>
      </c>
      <c r="E95" s="2">
        <v>73.501199999999997</v>
      </c>
      <c r="F95" s="2">
        <v>176.96340000000001</v>
      </c>
      <c r="G95" s="2">
        <v>0.37903999999999999</v>
      </c>
      <c r="H95" s="2">
        <v>2</v>
      </c>
      <c r="I95" s="3">
        <f t="shared" si="11"/>
        <v>-1.5647611225041334</v>
      </c>
      <c r="J95" s="3">
        <f t="shared" si="12"/>
        <v>-1.3846556421919931</v>
      </c>
      <c r="K95" s="3">
        <f t="shared" si="13"/>
        <v>-0.13071875108865572</v>
      </c>
      <c r="L95" s="3">
        <f t="shared" si="14"/>
        <v>-0.28188597696749007</v>
      </c>
      <c r="M95" s="3">
        <f t="shared" si="15"/>
        <v>-0.38960208125295093</v>
      </c>
      <c r="N95" s="3">
        <f t="shared" si="16"/>
        <v>-0.86179582596158</v>
      </c>
      <c r="O95" s="3">
        <f t="shared" si="17"/>
        <v>0.28117391958936594</v>
      </c>
      <c r="P95" s="3">
        <f t="shared" si="18"/>
        <v>0.56983400243861537</v>
      </c>
      <c r="Q95" s="3">
        <f t="shared" si="19"/>
        <v>-0.56241018435932733</v>
      </c>
      <c r="R95" s="3">
        <f t="shared" si="21"/>
        <v>0.43016599756138463</v>
      </c>
    </row>
    <row r="96" spans="1:18" x14ac:dyDescent="0.3">
      <c r="A96" s="2">
        <v>92</v>
      </c>
      <c r="B96" s="2">
        <v>1</v>
      </c>
      <c r="C96" s="2">
        <v>29</v>
      </c>
      <c r="D96" s="2">
        <f t="shared" si="20"/>
        <v>841</v>
      </c>
      <c r="E96" s="2">
        <v>80.277600000000007</v>
      </c>
      <c r="F96" s="2">
        <v>160.44720000000001</v>
      </c>
      <c r="G96" s="2">
        <v>0.91506100000000001</v>
      </c>
      <c r="H96" s="2">
        <v>3</v>
      </c>
      <c r="I96" s="3">
        <f t="shared" si="11"/>
        <v>0.1176132639239249</v>
      </c>
      <c r="J96" s="3">
        <f t="shared" si="12"/>
        <v>3.4985782383379449E-3</v>
      </c>
      <c r="K96" s="3">
        <f t="shared" si="13"/>
        <v>0.55427658810855263</v>
      </c>
      <c r="L96" s="3">
        <f t="shared" si="14"/>
        <v>-1.9520582358156595</v>
      </c>
      <c r="M96" s="3">
        <f t="shared" si="15"/>
        <v>1.4833897975027195</v>
      </c>
      <c r="N96" s="3">
        <f t="shared" si="16"/>
        <v>-0.27394055586500432</v>
      </c>
      <c r="O96" s="3">
        <f t="shared" si="17"/>
        <v>-6.3209374691528264E-2</v>
      </c>
      <c r="P96" s="3">
        <f t="shared" si="18"/>
        <v>0.4842029156491171</v>
      </c>
      <c r="Q96" s="3">
        <f t="shared" si="19"/>
        <v>-0.72525121291614103</v>
      </c>
      <c r="R96" s="3">
        <f t="shared" si="21"/>
        <v>0.5157970843508829</v>
      </c>
    </row>
    <row r="97" spans="1:18" x14ac:dyDescent="0.3">
      <c r="A97" s="2">
        <v>93</v>
      </c>
      <c r="B97" s="2">
        <v>1</v>
      </c>
      <c r="C97" s="2">
        <v>25</v>
      </c>
      <c r="D97" s="2">
        <f t="shared" si="20"/>
        <v>625</v>
      </c>
      <c r="E97" s="2">
        <v>83.3322</v>
      </c>
      <c r="F97" s="2">
        <v>178.346</v>
      </c>
      <c r="G97" s="2">
        <v>0.25116899999999998</v>
      </c>
      <c r="H97" s="2">
        <v>4</v>
      </c>
      <c r="I97" s="3">
        <f t="shared" si="11"/>
        <v>-0.49415924023173263</v>
      </c>
      <c r="J97" s="3">
        <f t="shared" si="12"/>
        <v>-0.57646527401108472</v>
      </c>
      <c r="K97" s="3">
        <f t="shared" si="13"/>
        <v>0.86305215671604119</v>
      </c>
      <c r="L97" s="3">
        <f t="shared" si="14"/>
        <v>-0.14207293491886669</v>
      </c>
      <c r="M97" s="3">
        <f t="shared" si="15"/>
        <v>-0.83641544216300168</v>
      </c>
      <c r="N97" s="3">
        <f t="shared" si="16"/>
        <v>0.31391471423157125</v>
      </c>
      <c r="O97" s="3">
        <f t="shared" si="17"/>
        <v>0.15517966691566631</v>
      </c>
      <c r="P97" s="3">
        <f t="shared" si="18"/>
        <v>0.53871725292056405</v>
      </c>
      <c r="Q97" s="3">
        <f t="shared" si="19"/>
        <v>-0.6185644228536763</v>
      </c>
      <c r="R97" s="3">
        <f t="shared" si="21"/>
        <v>0.46128274707943595</v>
      </c>
    </row>
    <row r="98" spans="1:18" x14ac:dyDescent="0.3">
      <c r="A98" s="2">
        <v>94</v>
      </c>
      <c r="B98" s="2">
        <v>0</v>
      </c>
      <c r="C98" s="2">
        <v>28</v>
      </c>
      <c r="D98" s="2">
        <f t="shared" si="20"/>
        <v>784</v>
      </c>
      <c r="E98" s="2">
        <v>61.7346</v>
      </c>
      <c r="F98" s="2">
        <v>193.05969999999999</v>
      </c>
      <c r="G98" s="2">
        <v>0.84421199999999996</v>
      </c>
      <c r="H98" s="2">
        <v>1</v>
      </c>
      <c r="I98" s="3">
        <f t="shared" si="11"/>
        <v>-3.5329862114989473E-2</v>
      </c>
      <c r="J98" s="3">
        <f t="shared" si="12"/>
        <v>-0.14954743832748191</v>
      </c>
      <c r="K98" s="3">
        <f t="shared" si="13"/>
        <v>-1.3201506261547467</v>
      </c>
      <c r="L98" s="3">
        <f t="shared" si="14"/>
        <v>1.34582461809056</v>
      </c>
      <c r="M98" s="3">
        <f t="shared" si="15"/>
        <v>1.2358256132301619</v>
      </c>
      <c r="N98" s="3">
        <f t="shared" si="16"/>
        <v>-1.4496510960581555</v>
      </c>
      <c r="O98" s="3">
        <f t="shared" si="17"/>
        <v>-6.9477255278081254E-2</v>
      </c>
      <c r="P98" s="3">
        <f t="shared" si="18"/>
        <v>0.48263766974477812</v>
      </c>
      <c r="Q98" s="3">
        <f t="shared" si="19"/>
        <v>-0.65901181772679396</v>
      </c>
      <c r="R98" s="3">
        <f t="shared" si="21"/>
        <v>-0.48263766974477812</v>
      </c>
    </row>
    <row r="99" spans="1:18" x14ac:dyDescent="0.3">
      <c r="A99" s="2">
        <v>95</v>
      </c>
      <c r="B99" s="2">
        <v>1</v>
      </c>
      <c r="C99" s="2">
        <v>36</v>
      </c>
      <c r="D99" s="2">
        <f t="shared" si="20"/>
        <v>1296</v>
      </c>
      <c r="E99" s="2">
        <v>71.381100000000004</v>
      </c>
      <c r="F99" s="2">
        <v>179.0883</v>
      </c>
      <c r="G99" s="2">
        <v>0.48402099999999998</v>
      </c>
      <c r="H99" s="2">
        <v>6</v>
      </c>
      <c r="I99" s="3">
        <f t="shared" si="11"/>
        <v>1.1882151461963255</v>
      </c>
      <c r="J99" s="3">
        <f t="shared" si="12"/>
        <v>1.2251816929304087</v>
      </c>
      <c r="K99" s="3">
        <f t="shared" si="13"/>
        <v>-0.34502998103848087</v>
      </c>
      <c r="L99" s="3">
        <f t="shared" si="14"/>
        <v>-6.7009126794540477E-2</v>
      </c>
      <c r="M99" s="3">
        <f t="shared" si="15"/>
        <v>-2.2772124173565955E-2</v>
      </c>
      <c r="N99" s="3">
        <f t="shared" si="16"/>
        <v>1.4896252544247224</v>
      </c>
      <c r="O99" s="3">
        <f t="shared" si="17"/>
        <v>-7.2366139475357846E-2</v>
      </c>
      <c r="P99" s="3">
        <f t="shared" si="18"/>
        <v>0.48191635623220269</v>
      </c>
      <c r="Q99" s="3">
        <f t="shared" si="19"/>
        <v>-0.72998471477840143</v>
      </c>
      <c r="R99" s="3">
        <f t="shared" si="21"/>
        <v>0.51808364376779736</v>
      </c>
    </row>
    <row r="100" spans="1:18" x14ac:dyDescent="0.3">
      <c r="A100" s="2">
        <v>96</v>
      </c>
      <c r="B100" s="2">
        <v>0</v>
      </c>
      <c r="C100" s="2">
        <v>34</v>
      </c>
      <c r="D100" s="2">
        <f t="shared" si="20"/>
        <v>1156</v>
      </c>
      <c r="E100" s="2">
        <v>74.304100000000005</v>
      </c>
      <c r="F100" s="2">
        <v>157.59950000000001</v>
      </c>
      <c r="G100" s="2">
        <v>0.51409499999999997</v>
      </c>
      <c r="H100" s="2">
        <v>3</v>
      </c>
      <c r="I100" s="3">
        <f t="shared" si="11"/>
        <v>0.8823288941184968</v>
      </c>
      <c r="J100" s="3">
        <f t="shared" si="12"/>
        <v>0.84927919610207925</v>
      </c>
      <c r="K100" s="3">
        <f t="shared" si="13"/>
        <v>-4.9557255627726109E-2</v>
      </c>
      <c r="L100" s="3">
        <f t="shared" si="14"/>
        <v>-2.2400269902217538</v>
      </c>
      <c r="M100" s="3">
        <f t="shared" si="15"/>
        <v>8.2313978351704523E-2</v>
      </c>
      <c r="N100" s="3">
        <f t="shared" si="16"/>
        <v>-0.27394055586500432</v>
      </c>
      <c r="O100" s="3">
        <f t="shared" si="17"/>
        <v>-8.4346603764312827E-2</v>
      </c>
      <c r="P100" s="3">
        <f t="shared" si="18"/>
        <v>0.47892584165515933</v>
      </c>
      <c r="Q100" s="3">
        <f t="shared" si="19"/>
        <v>-0.65186290888414722</v>
      </c>
      <c r="R100" s="3">
        <f t="shared" si="21"/>
        <v>-0.47892584165515933</v>
      </c>
    </row>
    <row r="101" spans="1:18" x14ac:dyDescent="0.3">
      <c r="A101" s="2">
        <v>97</v>
      </c>
      <c r="B101" s="2">
        <v>1</v>
      </c>
      <c r="C101" s="2">
        <v>25</v>
      </c>
      <c r="D101" s="2">
        <f t="shared" si="20"/>
        <v>625</v>
      </c>
      <c r="E101" s="2">
        <v>79.853200000000001</v>
      </c>
      <c r="F101" s="2">
        <v>175.0164</v>
      </c>
      <c r="G101" s="2">
        <v>0.30846800000000002</v>
      </c>
      <c r="H101" s="2">
        <v>4</v>
      </c>
      <c r="I101" s="3">
        <f t="shared" si="11"/>
        <v>-0.49415924023173263</v>
      </c>
      <c r="J101" s="3">
        <f t="shared" si="12"/>
        <v>-0.57646527401108472</v>
      </c>
      <c r="K101" s="3">
        <f t="shared" si="13"/>
        <v>0.51137592965342915</v>
      </c>
      <c r="L101" s="3">
        <f t="shared" si="14"/>
        <v>-0.47877299625627262</v>
      </c>
      <c r="M101" s="3">
        <f t="shared" si="15"/>
        <v>-0.63619835801737823</v>
      </c>
      <c r="N101" s="3">
        <f t="shared" si="16"/>
        <v>0.31391471423157125</v>
      </c>
      <c r="O101" s="3">
        <f t="shared" si="17"/>
        <v>0.11581064862588425</v>
      </c>
      <c r="P101" s="3">
        <f t="shared" si="18"/>
        <v>0.52892034581683678</v>
      </c>
      <c r="Q101" s="3">
        <f t="shared" si="19"/>
        <v>-0.63691743347682483</v>
      </c>
      <c r="R101" s="3">
        <f t="shared" si="21"/>
        <v>0.47107965418316322</v>
      </c>
    </row>
    <row r="102" spans="1:18" x14ac:dyDescent="0.3">
      <c r="A102" s="2">
        <v>98</v>
      </c>
      <c r="B102" s="2">
        <v>1</v>
      </c>
      <c r="C102" s="2">
        <v>20</v>
      </c>
      <c r="D102" s="2">
        <f t="shared" si="20"/>
        <v>400</v>
      </c>
      <c r="E102" s="2">
        <v>67.273300000000006</v>
      </c>
      <c r="F102" s="2">
        <v>189.92689999999999</v>
      </c>
      <c r="G102" s="2">
        <v>0.57304200000000005</v>
      </c>
      <c r="H102" s="2">
        <v>1</v>
      </c>
      <c r="I102" s="3">
        <f t="shared" si="11"/>
        <v>-1.2588748704263044</v>
      </c>
      <c r="J102" s="3">
        <f t="shared" si="12"/>
        <v>-1.1805942867708998</v>
      </c>
      <c r="K102" s="3">
        <f t="shared" si="13"/>
        <v>-0.76026872939369705</v>
      </c>
      <c r="L102" s="3">
        <f t="shared" si="14"/>
        <v>1.0290256175626207</v>
      </c>
      <c r="M102" s="3">
        <f t="shared" si="15"/>
        <v>0.28828958803306154</v>
      </c>
      <c r="N102" s="3">
        <f t="shared" si="16"/>
        <v>-1.4496510960581555</v>
      </c>
      <c r="O102" s="3">
        <f t="shared" si="17"/>
        <v>0.18276503762771451</v>
      </c>
      <c r="P102" s="3">
        <f t="shared" si="18"/>
        <v>0.54556449716203825</v>
      </c>
      <c r="Q102" s="3">
        <f t="shared" si="19"/>
        <v>-0.60593424575405352</v>
      </c>
      <c r="R102" s="3">
        <f t="shared" si="21"/>
        <v>0.45443550283796175</v>
      </c>
    </row>
    <row r="103" spans="1:18" x14ac:dyDescent="0.3">
      <c r="A103" s="2">
        <v>99</v>
      </c>
      <c r="B103" s="2">
        <v>1</v>
      </c>
      <c r="C103" s="2">
        <v>20</v>
      </c>
      <c r="D103" s="2">
        <f t="shared" si="20"/>
        <v>400</v>
      </c>
      <c r="E103" s="2">
        <v>74.107799999999997</v>
      </c>
      <c r="F103" s="2">
        <v>185.45820000000001</v>
      </c>
      <c r="G103" s="2">
        <v>0.32521099999999997</v>
      </c>
      <c r="H103" s="2">
        <v>6</v>
      </c>
      <c r="I103" s="3">
        <f t="shared" si="11"/>
        <v>-1.2588748704263044</v>
      </c>
      <c r="J103" s="3">
        <f t="shared" si="12"/>
        <v>-1.1805942867708998</v>
      </c>
      <c r="K103" s="3">
        <f t="shared" si="13"/>
        <v>-6.9400326444740632E-2</v>
      </c>
      <c r="L103" s="3">
        <f t="shared" si="14"/>
        <v>0.57713603199724928</v>
      </c>
      <c r="M103" s="3">
        <f t="shared" si="15"/>
        <v>-0.5776941146649609</v>
      </c>
      <c r="N103" s="3">
        <f t="shared" si="16"/>
        <v>1.4896252544247224</v>
      </c>
      <c r="O103" s="3">
        <f t="shared" si="17"/>
        <v>0.2134012351228968</v>
      </c>
      <c r="P103" s="3">
        <f t="shared" si="18"/>
        <v>0.55314876176855055</v>
      </c>
      <c r="Q103" s="3">
        <f t="shared" si="19"/>
        <v>-0.59212830501307712</v>
      </c>
      <c r="R103" s="3">
        <f t="shared" si="21"/>
        <v>0.44685123823144945</v>
      </c>
    </row>
    <row r="104" spans="1:18" x14ac:dyDescent="0.3">
      <c r="A104" s="2">
        <v>100</v>
      </c>
      <c r="B104" s="2">
        <v>0</v>
      </c>
      <c r="C104" s="2">
        <v>18</v>
      </c>
      <c r="D104" s="2">
        <f t="shared" si="20"/>
        <v>324</v>
      </c>
      <c r="E104" s="2">
        <v>75.299800000000005</v>
      </c>
      <c r="F104" s="2">
        <v>171.60120000000001</v>
      </c>
      <c r="G104" s="2">
        <v>3.9268999999999998E-2</v>
      </c>
      <c r="H104" s="2">
        <v>3</v>
      </c>
      <c r="I104" s="3">
        <f t="shared" si="11"/>
        <v>-1.5647611225041334</v>
      </c>
      <c r="J104" s="3">
        <f t="shared" si="12"/>
        <v>-1.3846556421919931</v>
      </c>
      <c r="K104" s="3">
        <f t="shared" si="13"/>
        <v>5.1093511629026589E-2</v>
      </c>
      <c r="L104" s="3">
        <f t="shared" si="14"/>
        <v>-0.82412921005958495</v>
      </c>
      <c r="M104" s="3">
        <f t="shared" si="15"/>
        <v>-1.5768472146277495</v>
      </c>
      <c r="N104" s="3">
        <f t="shared" si="16"/>
        <v>-0.27394055586500432</v>
      </c>
      <c r="O104" s="3">
        <f t="shared" si="17"/>
        <v>0.32278603791808169</v>
      </c>
      <c r="P104" s="3">
        <f t="shared" si="18"/>
        <v>0.58000308047844906</v>
      </c>
      <c r="Q104" s="3">
        <f t="shared" si="19"/>
        <v>-0.86750790220411822</v>
      </c>
      <c r="R104" s="3">
        <f t="shared" si="21"/>
        <v>-0.58000308047844906</v>
      </c>
    </row>
    <row r="105" spans="1:18" x14ac:dyDescent="0.3">
      <c r="A105" s="2">
        <v>101</v>
      </c>
      <c r="B105" s="2">
        <v>1</v>
      </c>
      <c r="C105" s="2">
        <v>22</v>
      </c>
      <c r="D105" s="2">
        <f t="shared" si="20"/>
        <v>484</v>
      </c>
      <c r="E105" s="2">
        <v>67.955299999999994</v>
      </c>
      <c r="F105" s="2">
        <v>174.34719999999999</v>
      </c>
      <c r="G105" s="2">
        <v>0.27199899999999999</v>
      </c>
      <c r="H105" s="2">
        <v>2</v>
      </c>
      <c r="I105" s="3">
        <f t="shared" si="11"/>
        <v>-0.9529886183484757</v>
      </c>
      <c r="J105" s="3">
        <f t="shared" si="12"/>
        <v>-0.9550527886739022</v>
      </c>
      <c r="K105" s="3">
        <f t="shared" si="13"/>
        <v>-0.69132846297900974</v>
      </c>
      <c r="L105" s="3">
        <f t="shared" si="14"/>
        <v>-0.54644469287058006</v>
      </c>
      <c r="M105" s="3">
        <f t="shared" si="15"/>
        <v>-0.7636301952520026</v>
      </c>
      <c r="N105" s="3">
        <f t="shared" si="16"/>
        <v>-0.86179582596158</v>
      </c>
      <c r="O105" s="3">
        <f t="shared" si="17"/>
        <v>0.12887168228636245</v>
      </c>
      <c r="P105" s="3">
        <f t="shared" si="18"/>
        <v>0.53217340513919431</v>
      </c>
      <c r="Q105" s="3">
        <f t="shared" si="19"/>
        <v>-0.63078589324072987</v>
      </c>
      <c r="R105" s="3">
        <f t="shared" si="21"/>
        <v>0.46782659486080569</v>
      </c>
    </row>
    <row r="106" spans="1:18" x14ac:dyDescent="0.3">
      <c r="A106" s="2">
        <v>102</v>
      </c>
      <c r="B106" s="2">
        <v>1</v>
      </c>
      <c r="C106" s="2">
        <v>27</v>
      </c>
      <c r="D106" s="2">
        <f t="shared" si="20"/>
        <v>729</v>
      </c>
      <c r="E106" s="2">
        <v>67.716800000000006</v>
      </c>
      <c r="F106" s="2">
        <v>175.8929</v>
      </c>
      <c r="G106" s="2">
        <v>6.3790000000000001E-3</v>
      </c>
      <c r="H106" s="2">
        <v>2</v>
      </c>
      <c r="I106" s="3">
        <f t="shared" si="11"/>
        <v>-0.18827298815390386</v>
      </c>
      <c r="J106" s="3">
        <f t="shared" si="12"/>
        <v>-0.29722341922432566</v>
      </c>
      <c r="K106" s="3">
        <f t="shared" si="13"/>
        <v>-0.7154373391372244</v>
      </c>
      <c r="L106" s="3">
        <f t="shared" si="14"/>
        <v>-0.39013844442955653</v>
      </c>
      <c r="M106" s="3">
        <f t="shared" si="15"/>
        <v>-1.6917731277771857</v>
      </c>
      <c r="N106" s="3">
        <f t="shared" si="16"/>
        <v>-0.86179582596158</v>
      </c>
      <c r="O106" s="3">
        <f t="shared" si="17"/>
        <v>6.1543705478696288E-2</v>
      </c>
      <c r="P106" s="3">
        <f t="shared" si="18"/>
        <v>0.51538107186165083</v>
      </c>
      <c r="Q106" s="3">
        <f t="shared" si="19"/>
        <v>-0.66284870658057193</v>
      </c>
      <c r="R106" s="3">
        <f t="shared" si="21"/>
        <v>0.48461892813834917</v>
      </c>
    </row>
    <row r="107" spans="1:18" x14ac:dyDescent="0.3">
      <c r="A107" s="2">
        <v>103</v>
      </c>
      <c r="B107" s="2">
        <v>1</v>
      </c>
      <c r="C107" s="2">
        <v>24</v>
      </c>
      <c r="D107" s="2">
        <f t="shared" si="20"/>
        <v>576</v>
      </c>
      <c r="E107" s="2">
        <v>75.987499999999997</v>
      </c>
      <c r="F107" s="2">
        <v>173.37289999999999</v>
      </c>
      <c r="G107" s="2">
        <v>0.97835499999999997</v>
      </c>
      <c r="H107" s="2">
        <v>2</v>
      </c>
      <c r="I107" s="3">
        <f t="shared" si="11"/>
        <v>-0.64710236627064699</v>
      </c>
      <c r="J107" s="3">
        <f t="shared" si="12"/>
        <v>-0.70803114790099997</v>
      </c>
      <c r="K107" s="3">
        <f t="shared" si="13"/>
        <v>0.12060996502108054</v>
      </c>
      <c r="L107" s="3">
        <f t="shared" si="14"/>
        <v>-0.64496910113614792</v>
      </c>
      <c r="M107" s="3">
        <f t="shared" si="15"/>
        <v>1.7045549159849456</v>
      </c>
      <c r="N107" s="3">
        <f t="shared" si="16"/>
        <v>-0.86179582596158</v>
      </c>
      <c r="O107" s="3">
        <f t="shared" si="17"/>
        <v>2.5015330879674537E-2</v>
      </c>
      <c r="P107" s="3">
        <f t="shared" si="18"/>
        <v>0.5062535066202617</v>
      </c>
      <c r="Q107" s="3">
        <f t="shared" si="19"/>
        <v>-0.68071773392807033</v>
      </c>
      <c r="R107" s="3">
        <f t="shared" si="21"/>
        <v>0.4937464933797383</v>
      </c>
    </row>
    <row r="108" spans="1:18" x14ac:dyDescent="0.3">
      <c r="A108" s="2">
        <v>104</v>
      </c>
      <c r="B108" s="2">
        <v>0</v>
      </c>
      <c r="C108" s="2">
        <v>26</v>
      </c>
      <c r="D108" s="2">
        <f t="shared" si="20"/>
        <v>676</v>
      </c>
      <c r="E108" s="2">
        <v>73.6965</v>
      </c>
      <c r="F108" s="2">
        <v>159.70330000000001</v>
      </c>
      <c r="G108" s="2">
        <v>0.96574700000000002</v>
      </c>
      <c r="H108" s="2">
        <v>4</v>
      </c>
      <c r="I108" s="3">
        <f t="shared" si="11"/>
        <v>-0.34121611419281822</v>
      </c>
      <c r="J108" s="3">
        <f t="shared" si="12"/>
        <v>-0.43952936445219321</v>
      </c>
      <c r="K108" s="3">
        <f t="shared" si="13"/>
        <v>-0.11097676570626733</v>
      </c>
      <c r="L108" s="3">
        <f t="shared" si="14"/>
        <v>-2.0272838411823386</v>
      </c>
      <c r="M108" s="3">
        <f t="shared" si="15"/>
        <v>1.66049940023584</v>
      </c>
      <c r="N108" s="3">
        <f t="shared" si="16"/>
        <v>0.31391471423157125</v>
      </c>
      <c r="O108" s="3">
        <f t="shared" si="17"/>
        <v>-7.8130799951086502E-2</v>
      </c>
      <c r="P108" s="3">
        <f t="shared" si="18"/>
        <v>0.48047723027055639</v>
      </c>
      <c r="Q108" s="3">
        <f t="shared" si="19"/>
        <v>-0.65484463931781445</v>
      </c>
      <c r="R108" s="3">
        <f t="shared" si="21"/>
        <v>-0.48047723027055639</v>
      </c>
    </row>
    <row r="109" spans="1:18" x14ac:dyDescent="0.3">
      <c r="A109" s="2">
        <v>105</v>
      </c>
      <c r="B109" s="2">
        <v>0</v>
      </c>
      <c r="C109" s="2">
        <v>24</v>
      </c>
      <c r="D109" s="2">
        <f t="shared" si="20"/>
        <v>576</v>
      </c>
      <c r="E109" s="2">
        <v>80.004800000000003</v>
      </c>
      <c r="F109" s="2">
        <v>187.63589999999999</v>
      </c>
      <c r="G109" s="2">
        <v>0.39515499999999998</v>
      </c>
      <c r="H109" s="2">
        <v>2</v>
      </c>
      <c r="I109" s="3">
        <f t="shared" si="11"/>
        <v>-0.64710236627064699</v>
      </c>
      <c r="J109" s="3">
        <f t="shared" si="12"/>
        <v>-0.70803114790099997</v>
      </c>
      <c r="K109" s="3">
        <f t="shared" si="13"/>
        <v>0.5267004815426769</v>
      </c>
      <c r="L109" s="3">
        <f t="shared" si="14"/>
        <v>0.79735219116785983</v>
      </c>
      <c r="M109" s="3">
        <f t="shared" si="15"/>
        <v>-0.33329222748575221</v>
      </c>
      <c r="N109" s="3">
        <f t="shared" si="16"/>
        <v>-0.86179582596158</v>
      </c>
      <c r="O109" s="3">
        <f t="shared" si="17"/>
        <v>0.17167847019839019</v>
      </c>
      <c r="P109" s="3">
        <f t="shared" si="18"/>
        <v>0.542814511387959</v>
      </c>
      <c r="Q109" s="3">
        <f t="shared" si="19"/>
        <v>-0.78266608725889475</v>
      </c>
      <c r="R109" s="3">
        <f t="shared" si="21"/>
        <v>-0.542814511387959</v>
      </c>
    </row>
    <row r="110" spans="1:18" x14ac:dyDescent="0.3">
      <c r="A110" s="2">
        <v>106</v>
      </c>
      <c r="B110" s="2">
        <v>0</v>
      </c>
      <c r="C110" s="2">
        <v>26</v>
      </c>
      <c r="D110" s="2">
        <f t="shared" si="20"/>
        <v>676</v>
      </c>
      <c r="E110" s="2">
        <v>64.467399999999998</v>
      </c>
      <c r="F110" s="2">
        <v>192.57060000000001</v>
      </c>
      <c r="G110" s="2">
        <v>0.72837099999999999</v>
      </c>
      <c r="H110" s="2">
        <v>5</v>
      </c>
      <c r="I110" s="3">
        <f t="shared" si="11"/>
        <v>-0.34121611419281822</v>
      </c>
      <c r="J110" s="3">
        <f t="shared" si="12"/>
        <v>-0.43952936445219321</v>
      </c>
      <c r="K110" s="3">
        <f t="shared" si="13"/>
        <v>-1.0439043504097896</v>
      </c>
      <c r="L110" s="3">
        <f t="shared" si="14"/>
        <v>1.29636522356866</v>
      </c>
      <c r="M110" s="3">
        <f t="shared" si="15"/>
        <v>0.83104809103059218</v>
      </c>
      <c r="N110" s="3">
        <f t="shared" si="16"/>
        <v>0.90176998432814681</v>
      </c>
      <c r="O110" s="3">
        <f t="shared" si="17"/>
        <v>-3.5200632526698437E-2</v>
      </c>
      <c r="P110" s="3">
        <f t="shared" si="18"/>
        <v>0.49120075043406364</v>
      </c>
      <c r="Q110" s="3">
        <f t="shared" si="19"/>
        <v>-0.67570174186702858</v>
      </c>
      <c r="R110" s="3">
        <f t="shared" si="21"/>
        <v>-0.49120075043406364</v>
      </c>
    </row>
    <row r="111" spans="1:18" x14ac:dyDescent="0.3">
      <c r="A111" s="2">
        <v>107</v>
      </c>
      <c r="B111" s="2">
        <v>1</v>
      </c>
      <c r="C111" s="2">
        <v>25</v>
      </c>
      <c r="D111" s="2">
        <f t="shared" si="20"/>
        <v>625</v>
      </c>
      <c r="E111" s="2">
        <v>71.493200000000002</v>
      </c>
      <c r="F111" s="2">
        <v>164.81549999999999</v>
      </c>
      <c r="G111" s="2">
        <v>0.345806</v>
      </c>
      <c r="H111" s="2">
        <v>1</v>
      </c>
      <c r="I111" s="3">
        <f t="shared" si="11"/>
        <v>-0.49415924023173263</v>
      </c>
      <c r="J111" s="3">
        <f t="shared" si="12"/>
        <v>-0.57646527401108472</v>
      </c>
      <c r="K111" s="3">
        <f t="shared" si="13"/>
        <v>-0.33369830381694648</v>
      </c>
      <c r="L111" s="3">
        <f t="shared" si="14"/>
        <v>-1.5103214272079639</v>
      </c>
      <c r="M111" s="3">
        <f t="shared" si="15"/>
        <v>-0.50573001672295292</v>
      </c>
      <c r="N111" s="3">
        <f t="shared" si="16"/>
        <v>-1.4496510960581555</v>
      </c>
      <c r="O111" s="3">
        <f t="shared" si="17"/>
        <v>5.5546005345476893E-2</v>
      </c>
      <c r="P111" s="3">
        <f t="shared" si="18"/>
        <v>0.51388293203446889</v>
      </c>
      <c r="Q111" s="3">
        <f t="shared" si="19"/>
        <v>-0.6657597981557245</v>
      </c>
      <c r="R111" s="3">
        <f t="shared" si="21"/>
        <v>0.48611706796553111</v>
      </c>
    </row>
    <row r="112" spans="1:18" x14ac:dyDescent="0.3">
      <c r="A112" s="2">
        <v>108</v>
      </c>
      <c r="B112" s="2">
        <v>0</v>
      </c>
      <c r="C112" s="2">
        <v>29</v>
      </c>
      <c r="D112" s="2">
        <f t="shared" si="20"/>
        <v>841</v>
      </c>
      <c r="E112" s="2">
        <v>72.707800000000006</v>
      </c>
      <c r="F112" s="2">
        <v>192.4385</v>
      </c>
      <c r="G112" s="2">
        <v>0.67109300000000005</v>
      </c>
      <c r="H112" s="2">
        <v>4</v>
      </c>
      <c r="I112" s="3">
        <f t="shared" si="11"/>
        <v>0.1176132639239249</v>
      </c>
      <c r="J112" s="3">
        <f t="shared" si="12"/>
        <v>3.4985782383379449E-3</v>
      </c>
      <c r="K112" s="3">
        <f t="shared" si="13"/>
        <v>-0.21091993492064001</v>
      </c>
      <c r="L112" s="3">
        <f t="shared" si="14"/>
        <v>1.2830068387468574</v>
      </c>
      <c r="M112" s="3">
        <f t="shared" si="15"/>
        <v>0.63090438615453848</v>
      </c>
      <c r="N112" s="3">
        <f t="shared" si="16"/>
        <v>0.31391471423157125</v>
      </c>
      <c r="O112" s="3">
        <f t="shared" si="17"/>
        <v>-1.0357230360866533E-2</v>
      </c>
      <c r="P112" s="3">
        <f t="shared" si="18"/>
        <v>0.49741071555626643</v>
      </c>
      <c r="Q112" s="3">
        <f t="shared" si="19"/>
        <v>-0.68798197434717201</v>
      </c>
      <c r="R112" s="3">
        <f t="shared" si="21"/>
        <v>-0.49741071555626643</v>
      </c>
    </row>
    <row r="113" spans="1:18" x14ac:dyDescent="0.3">
      <c r="A113" s="2">
        <v>109</v>
      </c>
      <c r="B113" s="2">
        <v>1</v>
      </c>
      <c r="C113" s="2">
        <v>19</v>
      </c>
      <c r="D113" s="2">
        <f t="shared" si="20"/>
        <v>361</v>
      </c>
      <c r="E113" s="2">
        <v>83.138599999999997</v>
      </c>
      <c r="F113" s="2">
        <v>178.96979999999999</v>
      </c>
      <c r="G113" s="2">
        <v>0.80542999999999998</v>
      </c>
      <c r="H113" s="2">
        <v>6</v>
      </c>
      <c r="I113" s="3">
        <f t="shared" si="11"/>
        <v>-1.4118179964652189</v>
      </c>
      <c r="J113" s="3">
        <f t="shared" si="12"/>
        <v>-1.2853099823159346</v>
      </c>
      <c r="K113" s="3">
        <f t="shared" si="13"/>
        <v>0.84348201657251642</v>
      </c>
      <c r="L113" s="3">
        <f t="shared" si="14"/>
        <v>-7.8992235056339649E-2</v>
      </c>
      <c r="M113" s="3">
        <f t="shared" si="15"/>
        <v>1.1003115735901061</v>
      </c>
      <c r="N113" s="3">
        <f t="shared" si="16"/>
        <v>1.4896252544247224</v>
      </c>
      <c r="O113" s="3">
        <f t="shared" si="17"/>
        <v>0.21911585270958919</v>
      </c>
      <c r="P113" s="3">
        <f t="shared" si="18"/>
        <v>0.55456084083925783</v>
      </c>
      <c r="Q113" s="3">
        <f t="shared" si="19"/>
        <v>-0.58957875622830103</v>
      </c>
      <c r="R113" s="3">
        <f t="shared" si="21"/>
        <v>0.44543915916074217</v>
      </c>
    </row>
    <row r="114" spans="1:18" x14ac:dyDescent="0.3">
      <c r="A114" s="2">
        <v>110</v>
      </c>
      <c r="B114" s="2">
        <v>0</v>
      </c>
      <c r="C114" s="2">
        <v>18</v>
      </c>
      <c r="D114" s="2">
        <f t="shared" si="20"/>
        <v>324</v>
      </c>
      <c r="E114" s="2">
        <v>65.5959</v>
      </c>
      <c r="F114" s="2">
        <v>192.25129999999999</v>
      </c>
      <c r="G114" s="2">
        <v>0.94675600000000004</v>
      </c>
      <c r="H114" s="2">
        <v>2</v>
      </c>
      <c r="I114" s="3">
        <f t="shared" si="11"/>
        <v>-1.5647611225041334</v>
      </c>
      <c r="J114" s="3">
        <f t="shared" si="12"/>
        <v>-1.3846556421919931</v>
      </c>
      <c r="K114" s="3">
        <f t="shared" si="13"/>
        <v>-0.92982943743475122</v>
      </c>
      <c r="L114" s="3">
        <f t="shared" si="14"/>
        <v>1.2640765613915088</v>
      </c>
      <c r="M114" s="3">
        <f t="shared" si="15"/>
        <v>1.5941400807885628</v>
      </c>
      <c r="N114" s="3">
        <f t="shared" si="16"/>
        <v>-0.86179582596158</v>
      </c>
      <c r="O114" s="3">
        <f t="shared" si="17"/>
        <v>0.1803082153164364</v>
      </c>
      <c r="P114" s="3">
        <f t="shared" si="18"/>
        <v>0.54495532436376304</v>
      </c>
      <c r="Q114" s="3">
        <f t="shared" si="19"/>
        <v>-0.78735967663982376</v>
      </c>
      <c r="R114" s="3">
        <f t="shared" si="21"/>
        <v>-0.54495532436376304</v>
      </c>
    </row>
    <row r="115" spans="1:18" x14ac:dyDescent="0.3">
      <c r="A115" s="2">
        <v>111</v>
      </c>
      <c r="B115" s="2">
        <v>0</v>
      </c>
      <c r="C115" s="2">
        <v>33</v>
      </c>
      <c r="D115" s="2">
        <f t="shared" si="20"/>
        <v>1089</v>
      </c>
      <c r="E115" s="2">
        <v>77.346500000000006</v>
      </c>
      <c r="F115" s="2">
        <v>180.37950000000001</v>
      </c>
      <c r="G115" s="2">
        <v>0.40021200000000001</v>
      </c>
      <c r="H115" s="2">
        <v>1</v>
      </c>
      <c r="I115" s="3">
        <f t="shared" si="11"/>
        <v>0.72938576807958244</v>
      </c>
      <c r="J115" s="3">
        <f t="shared" si="12"/>
        <v>0.66938300119137872</v>
      </c>
      <c r="K115" s="3">
        <f t="shared" si="13"/>
        <v>0.25798507067733029</v>
      </c>
      <c r="L115" s="3">
        <f t="shared" si="14"/>
        <v>6.3561247784646155E-2</v>
      </c>
      <c r="M115" s="3">
        <f t="shared" si="15"/>
        <v>-0.31562180052324984</v>
      </c>
      <c r="N115" s="3">
        <f t="shared" si="16"/>
        <v>-1.4496510960581555</v>
      </c>
      <c r="O115" s="3">
        <f t="shared" si="17"/>
        <v>2.514979877315298E-2</v>
      </c>
      <c r="P115" s="3">
        <f t="shared" si="18"/>
        <v>0.50628711830676887</v>
      </c>
      <c r="Q115" s="3">
        <f t="shared" si="19"/>
        <v>-0.70580114191019294</v>
      </c>
      <c r="R115" s="3">
        <f t="shared" si="21"/>
        <v>-0.50628711830676887</v>
      </c>
    </row>
    <row r="116" spans="1:18" x14ac:dyDescent="0.3">
      <c r="A116" s="2">
        <v>112</v>
      </c>
      <c r="B116" s="2">
        <v>1</v>
      </c>
      <c r="C116" s="2">
        <v>22</v>
      </c>
      <c r="D116" s="2">
        <f t="shared" si="20"/>
        <v>484</v>
      </c>
      <c r="E116" s="2">
        <v>77.527600000000007</v>
      </c>
      <c r="F116" s="2">
        <v>181.3554</v>
      </c>
      <c r="G116" s="2">
        <v>0.78329800000000005</v>
      </c>
      <c r="H116" s="2">
        <v>3</v>
      </c>
      <c r="I116" s="3">
        <f t="shared" si="11"/>
        <v>-0.9529886183484757</v>
      </c>
      <c r="J116" s="3">
        <f t="shared" si="12"/>
        <v>-0.9550527886739022</v>
      </c>
      <c r="K116" s="3">
        <f t="shared" si="13"/>
        <v>0.27629164288803432</v>
      </c>
      <c r="L116" s="3">
        <f t="shared" si="14"/>
        <v>0.16224745329256696</v>
      </c>
      <c r="M116" s="3">
        <f t="shared" si="15"/>
        <v>1.0229768119658034</v>
      </c>
      <c r="N116" s="3">
        <f t="shared" si="16"/>
        <v>-0.27394055586500432</v>
      </c>
      <c r="O116" s="3">
        <f t="shared" si="17"/>
        <v>0.12460514436004604</v>
      </c>
      <c r="P116" s="3">
        <f t="shared" si="18"/>
        <v>0.53111104285255828</v>
      </c>
      <c r="Q116" s="3">
        <f t="shared" si="19"/>
        <v>-0.6327841593531508</v>
      </c>
      <c r="R116" s="3">
        <f t="shared" si="21"/>
        <v>0.46888895714744172</v>
      </c>
    </row>
    <row r="117" spans="1:18" x14ac:dyDescent="0.3">
      <c r="A117" s="2">
        <v>113</v>
      </c>
      <c r="B117" s="2">
        <v>0</v>
      </c>
      <c r="C117" s="2">
        <v>20</v>
      </c>
      <c r="D117" s="2">
        <f t="shared" si="20"/>
        <v>400</v>
      </c>
      <c r="E117" s="2">
        <v>91.463999999999999</v>
      </c>
      <c r="F117" s="2">
        <v>183.7243</v>
      </c>
      <c r="G117" s="2">
        <v>0.265928</v>
      </c>
      <c r="H117" s="2">
        <v>2</v>
      </c>
      <c r="I117" s="3">
        <f t="shared" si="11"/>
        <v>-1.2588748704263044</v>
      </c>
      <c r="J117" s="3">
        <f t="shared" si="12"/>
        <v>-1.1805942867708998</v>
      </c>
      <c r="K117" s="3">
        <f t="shared" si="13"/>
        <v>1.6850586940048451</v>
      </c>
      <c r="L117" s="3">
        <f t="shared" si="14"/>
        <v>0.40179838292440861</v>
      </c>
      <c r="M117" s="3">
        <f t="shared" si="15"/>
        <v>-0.78484379265942816</v>
      </c>
      <c r="N117" s="3">
        <f t="shared" si="16"/>
        <v>-0.86179582596158</v>
      </c>
      <c r="O117" s="3">
        <f t="shared" si="17"/>
        <v>0.3659510600069017</v>
      </c>
      <c r="P117" s="3">
        <f t="shared" si="18"/>
        <v>0.59048025068655052</v>
      </c>
      <c r="Q117" s="3">
        <f t="shared" si="19"/>
        <v>-0.89277014898026785</v>
      </c>
      <c r="R117" s="3">
        <f t="shared" si="21"/>
        <v>-0.59048025068655052</v>
      </c>
    </row>
    <row r="118" spans="1:18" x14ac:dyDescent="0.3">
      <c r="A118" s="2">
        <v>114</v>
      </c>
      <c r="B118" s="2">
        <v>1</v>
      </c>
      <c r="C118" s="2">
        <v>29</v>
      </c>
      <c r="D118" s="2">
        <f t="shared" si="20"/>
        <v>841</v>
      </c>
      <c r="E118" s="2">
        <v>64.929100000000005</v>
      </c>
      <c r="F118" s="2">
        <v>172.0993</v>
      </c>
      <c r="G118" s="2">
        <v>0.99033199999999999</v>
      </c>
      <c r="H118" s="2">
        <v>1</v>
      </c>
      <c r="I118" s="3">
        <f t="shared" si="11"/>
        <v>0.1176132639239249</v>
      </c>
      <c r="J118" s="3">
        <f t="shared" si="12"/>
        <v>3.4985782383379449E-3</v>
      </c>
      <c r="K118" s="3">
        <f t="shared" si="13"/>
        <v>-0.99723320524312953</v>
      </c>
      <c r="L118" s="3">
        <f t="shared" si="14"/>
        <v>-0.77375970604944566</v>
      </c>
      <c r="M118" s="3">
        <f t="shared" si="15"/>
        <v>1.746405559396037</v>
      </c>
      <c r="N118" s="3">
        <f t="shared" si="16"/>
        <v>-1.4496510960581555</v>
      </c>
      <c r="O118" s="3">
        <f t="shared" si="17"/>
        <v>-0.13239694237881777</v>
      </c>
      <c r="P118" s="3">
        <f t="shared" si="18"/>
        <v>0.46694902937508509</v>
      </c>
      <c r="Q118" s="3">
        <f t="shared" si="19"/>
        <v>-0.76153517207706589</v>
      </c>
      <c r="R118" s="3">
        <f t="shared" si="21"/>
        <v>0.53305097062491491</v>
      </c>
    </row>
    <row r="119" spans="1:18" x14ac:dyDescent="0.3">
      <c r="A119" s="2">
        <v>115</v>
      </c>
      <c r="B119" s="2">
        <v>1</v>
      </c>
      <c r="C119" s="2">
        <v>25</v>
      </c>
      <c r="D119" s="2">
        <f t="shared" si="20"/>
        <v>625</v>
      </c>
      <c r="E119" s="2">
        <v>68.427700000000002</v>
      </c>
      <c r="F119" s="2">
        <v>191.94669999999999</v>
      </c>
      <c r="G119" s="2">
        <v>2.5770000000000001E-2</v>
      </c>
      <c r="H119" s="2">
        <v>5</v>
      </c>
      <c r="I119" s="3">
        <f t="shared" si="11"/>
        <v>-0.49415924023173263</v>
      </c>
      <c r="J119" s="3">
        <f t="shared" si="12"/>
        <v>-0.57646527401108472</v>
      </c>
      <c r="K119" s="3">
        <f t="shared" si="13"/>
        <v>-0.64357570366185524</v>
      </c>
      <c r="L119" s="3">
        <f t="shared" si="14"/>
        <v>1.2332744113784826</v>
      </c>
      <c r="M119" s="3">
        <f t="shared" si="15"/>
        <v>-1.6240161079571576</v>
      </c>
      <c r="N119" s="3">
        <f t="shared" si="16"/>
        <v>0.90176998432814681</v>
      </c>
      <c r="O119" s="3">
        <f t="shared" si="17"/>
        <v>0.11356132453690504</v>
      </c>
      <c r="P119" s="3">
        <f t="shared" si="18"/>
        <v>0.52835985987468681</v>
      </c>
      <c r="Q119" s="3">
        <f t="shared" si="19"/>
        <v>-0.63797767463453658</v>
      </c>
      <c r="R119" s="3">
        <f t="shared" si="21"/>
        <v>0.47164014012531319</v>
      </c>
    </row>
    <row r="120" spans="1:18" x14ac:dyDescent="0.3">
      <c r="A120" s="2">
        <v>116</v>
      </c>
      <c r="B120" s="2">
        <v>0</v>
      </c>
      <c r="C120" s="2">
        <v>39</v>
      </c>
      <c r="D120" s="2">
        <f t="shared" si="20"/>
        <v>1521</v>
      </c>
      <c r="E120" s="2">
        <v>65.626400000000004</v>
      </c>
      <c r="F120" s="2">
        <v>168.78620000000001</v>
      </c>
      <c r="G120" s="2">
        <v>0.60352899999999998</v>
      </c>
      <c r="H120" s="2">
        <v>3</v>
      </c>
      <c r="I120" s="3">
        <f t="shared" si="11"/>
        <v>1.6470445243130687</v>
      </c>
      <c r="J120" s="3">
        <f t="shared" si="12"/>
        <v>1.829310705690224</v>
      </c>
      <c r="K120" s="3">
        <f t="shared" si="13"/>
        <v>-0.92674633167866882</v>
      </c>
      <c r="L120" s="3">
        <f t="shared" si="14"/>
        <v>-1.1087912333250816</v>
      </c>
      <c r="M120" s="3">
        <f t="shared" si="15"/>
        <v>0.39481881619319703</v>
      </c>
      <c r="N120" s="3">
        <f t="shared" si="16"/>
        <v>-0.27394055586500432</v>
      </c>
      <c r="O120" s="3">
        <f t="shared" si="17"/>
        <v>-0.11019865656081843</v>
      </c>
      <c r="P120" s="3">
        <f t="shared" si="18"/>
        <v>0.47247818171716027</v>
      </c>
      <c r="Q120" s="3">
        <f t="shared" si="19"/>
        <v>-0.63956505281365617</v>
      </c>
      <c r="R120" s="3">
        <f t="shared" si="21"/>
        <v>-0.47247818171716027</v>
      </c>
    </row>
    <row r="121" spans="1:18" x14ac:dyDescent="0.3">
      <c r="A121" s="2">
        <v>117</v>
      </c>
      <c r="B121" s="2">
        <v>1</v>
      </c>
      <c r="C121" s="2">
        <v>20</v>
      </c>
      <c r="D121" s="2">
        <f t="shared" si="20"/>
        <v>400</v>
      </c>
      <c r="E121" s="2">
        <v>58.302199999999999</v>
      </c>
      <c r="F121" s="2">
        <v>175.97929999999999</v>
      </c>
      <c r="G121" s="2">
        <v>0.65950600000000004</v>
      </c>
      <c r="H121" s="2">
        <v>5</v>
      </c>
      <c r="I121" s="3">
        <f t="shared" si="11"/>
        <v>-1.2588748704263044</v>
      </c>
      <c r="J121" s="3">
        <f t="shared" si="12"/>
        <v>-1.1805942867708998</v>
      </c>
      <c r="K121" s="3">
        <f t="shared" si="13"/>
        <v>-1.667116271963804</v>
      </c>
      <c r="L121" s="3">
        <f t="shared" si="14"/>
        <v>-0.38140139334247364</v>
      </c>
      <c r="M121" s="3">
        <f t="shared" si="15"/>
        <v>0.590416500606879</v>
      </c>
      <c r="N121" s="3">
        <f t="shared" si="16"/>
        <v>0.90176998432814681</v>
      </c>
      <c r="O121" s="3">
        <f t="shared" si="17"/>
        <v>4.4991459595668339E-2</v>
      </c>
      <c r="P121" s="3">
        <f t="shared" si="18"/>
        <v>0.51124596792609722</v>
      </c>
      <c r="Q121" s="3">
        <f t="shared" si="19"/>
        <v>-0.67090445835334611</v>
      </c>
      <c r="R121" s="3">
        <f t="shared" si="21"/>
        <v>0.48875403207390278</v>
      </c>
    </row>
    <row r="122" spans="1:18" x14ac:dyDescent="0.3">
      <c r="A122" s="2">
        <v>118</v>
      </c>
      <c r="B122" s="2">
        <v>1</v>
      </c>
      <c r="C122" s="2">
        <v>18</v>
      </c>
      <c r="D122" s="2">
        <f t="shared" si="20"/>
        <v>324</v>
      </c>
      <c r="E122" s="2">
        <v>92.646900000000002</v>
      </c>
      <c r="F122" s="2">
        <v>185.24260000000001</v>
      </c>
      <c r="G122" s="2">
        <v>0.68804600000000005</v>
      </c>
      <c r="H122" s="2">
        <v>6</v>
      </c>
      <c r="I122" s="3">
        <f t="shared" si="11"/>
        <v>-1.5647611225041334</v>
      </c>
      <c r="J122" s="3">
        <f t="shared" si="12"/>
        <v>-1.3846556421919931</v>
      </c>
      <c r="K122" s="3">
        <f t="shared" si="13"/>
        <v>1.8046326546235185</v>
      </c>
      <c r="L122" s="3">
        <f t="shared" si="14"/>
        <v>0.55533385359013032</v>
      </c>
      <c r="M122" s="3">
        <f t="shared" si="15"/>
        <v>0.69014242220265021</v>
      </c>
      <c r="N122" s="3">
        <f t="shared" si="16"/>
        <v>1.4896252544247224</v>
      </c>
      <c r="O122" s="3">
        <f t="shared" si="17"/>
        <v>0.34877965227442992</v>
      </c>
      <c r="P122" s="3">
        <f t="shared" si="18"/>
        <v>0.58632161652530779</v>
      </c>
      <c r="Q122" s="3">
        <f t="shared" si="19"/>
        <v>-0.53388680629829977</v>
      </c>
      <c r="R122" s="3">
        <f t="shared" si="21"/>
        <v>0.41367838347469221</v>
      </c>
    </row>
    <row r="123" spans="1:18" x14ac:dyDescent="0.3">
      <c r="A123" s="2">
        <v>119</v>
      </c>
      <c r="B123" s="2">
        <v>0</v>
      </c>
      <c r="C123" s="2">
        <v>20</v>
      </c>
      <c r="D123" s="2">
        <f t="shared" si="20"/>
        <v>400</v>
      </c>
      <c r="E123" s="2">
        <v>62.585000000000001</v>
      </c>
      <c r="F123" s="2">
        <v>174.90799999999999</v>
      </c>
      <c r="G123" s="2">
        <v>0.120388</v>
      </c>
      <c r="H123" s="2">
        <v>1</v>
      </c>
      <c r="I123" s="3">
        <f t="shared" si="11"/>
        <v>-1.2588748704263044</v>
      </c>
      <c r="J123" s="3">
        <f t="shared" si="12"/>
        <v>-1.1805942867708998</v>
      </c>
      <c r="K123" s="3">
        <f t="shared" si="13"/>
        <v>-1.2341875725490998</v>
      </c>
      <c r="L123" s="3">
        <f t="shared" si="14"/>
        <v>-0.48973475942571659</v>
      </c>
      <c r="M123" s="3">
        <f t="shared" si="15"/>
        <v>-1.2933970732848146</v>
      </c>
      <c r="N123" s="3">
        <f t="shared" si="16"/>
        <v>-1.4496510960581555</v>
      </c>
      <c r="O123" s="3">
        <f t="shared" si="17"/>
        <v>0.18371531276542535</v>
      </c>
      <c r="P123" s="3">
        <f t="shared" si="18"/>
        <v>0.54580008283970716</v>
      </c>
      <c r="Q123" s="3">
        <f t="shared" si="19"/>
        <v>-0.78921783169666471</v>
      </c>
      <c r="R123" s="3">
        <f t="shared" si="21"/>
        <v>-0.54580008283970716</v>
      </c>
    </row>
    <row r="124" spans="1:18" x14ac:dyDescent="0.3">
      <c r="A124" s="2">
        <v>120</v>
      </c>
      <c r="B124" s="2">
        <v>0</v>
      </c>
      <c r="C124" s="2">
        <v>22</v>
      </c>
      <c r="D124" s="2">
        <f t="shared" si="20"/>
        <v>484</v>
      </c>
      <c r="E124" s="2">
        <v>66.8369</v>
      </c>
      <c r="F124" s="2">
        <v>187.77529999999999</v>
      </c>
      <c r="G124" s="2">
        <v>0.93852999999999998</v>
      </c>
      <c r="H124" s="2">
        <v>5</v>
      </c>
      <c r="I124" s="3">
        <f t="shared" si="11"/>
        <v>-0.9529886183484757</v>
      </c>
      <c r="J124" s="3">
        <f t="shared" si="12"/>
        <v>-0.9550527886739022</v>
      </c>
      <c r="K124" s="3">
        <f t="shared" si="13"/>
        <v>-0.80438241306432834</v>
      </c>
      <c r="L124" s="3">
        <f t="shared" si="14"/>
        <v>0.81144877590789843</v>
      </c>
      <c r="M124" s="3">
        <f t="shared" si="15"/>
        <v>1.5653963726229418</v>
      </c>
      <c r="N124" s="3">
        <f t="shared" si="16"/>
        <v>0.90176998432814681</v>
      </c>
      <c r="O124" s="3">
        <f t="shared" si="17"/>
        <v>2.9357002770737377E-2</v>
      </c>
      <c r="P124" s="3">
        <f t="shared" si="18"/>
        <v>0.50733872363703014</v>
      </c>
      <c r="Q124" s="3">
        <f t="shared" si="19"/>
        <v>-0.70793340727846954</v>
      </c>
      <c r="R124" s="3">
        <f t="shared" si="21"/>
        <v>-0.50733872363703014</v>
      </c>
    </row>
    <row r="125" spans="1:18" x14ac:dyDescent="0.3">
      <c r="A125" s="2">
        <v>121</v>
      </c>
      <c r="B125" s="2">
        <v>1</v>
      </c>
      <c r="C125" s="2">
        <v>32</v>
      </c>
      <c r="D125" s="2">
        <f t="shared" si="20"/>
        <v>1024</v>
      </c>
      <c r="E125" s="2">
        <v>88.157700000000006</v>
      </c>
      <c r="F125" s="2">
        <v>193.7587</v>
      </c>
      <c r="G125" s="2">
        <v>0.18118300000000001</v>
      </c>
      <c r="H125" s="2">
        <v>6</v>
      </c>
      <c r="I125" s="3">
        <f t="shared" si="11"/>
        <v>0.57644264204066809</v>
      </c>
      <c r="J125" s="3">
        <f t="shared" si="12"/>
        <v>0.49485684194965435</v>
      </c>
      <c r="K125" s="3">
        <f t="shared" si="13"/>
        <v>1.3508399215020821</v>
      </c>
      <c r="L125" s="3">
        <f t="shared" si="14"/>
        <v>1.4165097883436988</v>
      </c>
      <c r="M125" s="3">
        <f t="shared" si="15"/>
        <v>-1.0809640878813489</v>
      </c>
      <c r="N125" s="3">
        <f t="shared" si="16"/>
        <v>1.4896252544247224</v>
      </c>
      <c r="O125" s="3">
        <f t="shared" si="17"/>
        <v>0.12445478409203384</v>
      </c>
      <c r="P125" s="3">
        <f t="shared" si="18"/>
        <v>0.53107359814371491</v>
      </c>
      <c r="Q125" s="3">
        <f t="shared" si="19"/>
        <v>-0.63285466443750926</v>
      </c>
      <c r="R125" s="3">
        <f t="shared" si="21"/>
        <v>0.46892640185628509</v>
      </c>
    </row>
    <row r="126" spans="1:18" x14ac:dyDescent="0.3">
      <c r="A126" s="2">
        <v>122</v>
      </c>
      <c r="B126" s="2">
        <v>0</v>
      </c>
      <c r="C126" s="2">
        <v>31</v>
      </c>
      <c r="D126" s="2">
        <f t="shared" si="20"/>
        <v>961</v>
      </c>
      <c r="E126" s="2">
        <v>57.468899999999998</v>
      </c>
      <c r="F126" s="2">
        <v>190.12549999999999</v>
      </c>
      <c r="G126" s="2">
        <v>0.622753</v>
      </c>
      <c r="H126" s="2">
        <v>1</v>
      </c>
      <c r="I126" s="3">
        <f t="shared" si="11"/>
        <v>0.42349951600175367</v>
      </c>
      <c r="J126" s="3">
        <f t="shared" si="12"/>
        <v>0.32570071837690606</v>
      </c>
      <c r="K126" s="3">
        <f t="shared" si="13"/>
        <v>-1.7513507646373525</v>
      </c>
      <c r="L126" s="3">
        <f t="shared" si="14"/>
        <v>1.0491087002697352</v>
      </c>
      <c r="M126" s="3">
        <f t="shared" si="15"/>
        <v>0.46199229610760156</v>
      </c>
      <c r="N126" s="3">
        <f t="shared" si="16"/>
        <v>-1.4496510960581555</v>
      </c>
      <c r="O126" s="3">
        <f t="shared" si="17"/>
        <v>-0.10514211862400831</v>
      </c>
      <c r="P126" s="3">
        <f t="shared" si="18"/>
        <v>0.47373865885300098</v>
      </c>
      <c r="Q126" s="3">
        <f t="shared" si="19"/>
        <v>-0.64195734334460541</v>
      </c>
      <c r="R126" s="3">
        <f t="shared" si="21"/>
        <v>-0.47373865885300098</v>
      </c>
    </row>
    <row r="127" spans="1:18" x14ac:dyDescent="0.3">
      <c r="A127" s="2">
        <v>123</v>
      </c>
      <c r="B127" s="2">
        <v>1</v>
      </c>
      <c r="C127" s="2">
        <v>20</v>
      </c>
      <c r="D127" s="2">
        <f t="shared" si="20"/>
        <v>400</v>
      </c>
      <c r="E127" s="2">
        <v>82.563500000000005</v>
      </c>
      <c r="F127" s="2">
        <v>160.6388</v>
      </c>
      <c r="G127" s="2">
        <v>0.22267600000000001</v>
      </c>
      <c r="H127" s="2">
        <v>1</v>
      </c>
      <c r="I127" s="3">
        <f t="shared" si="11"/>
        <v>-1.2588748704263044</v>
      </c>
      <c r="J127" s="3">
        <f t="shared" si="12"/>
        <v>-1.1805942867708998</v>
      </c>
      <c r="K127" s="3">
        <f t="shared" si="13"/>
        <v>0.78534778311930986</v>
      </c>
      <c r="L127" s="3">
        <f t="shared" si="14"/>
        <v>-1.9326830160438415</v>
      </c>
      <c r="M127" s="3">
        <f t="shared" si="15"/>
        <v>-0.93597713396497439</v>
      </c>
      <c r="N127" s="3">
        <f t="shared" si="16"/>
        <v>-1.4496510960581555</v>
      </c>
      <c r="O127" s="3">
        <f t="shared" si="17"/>
        <v>0.26747790023929113</v>
      </c>
      <c r="P127" s="3">
        <f t="shared" si="18"/>
        <v>0.56647362868859363</v>
      </c>
      <c r="Q127" s="3">
        <f t="shared" si="19"/>
        <v>-0.56832475089754442</v>
      </c>
      <c r="R127" s="3">
        <f t="shared" si="21"/>
        <v>0.43352637131140637</v>
      </c>
    </row>
    <row r="128" spans="1:18" x14ac:dyDescent="0.3">
      <c r="A128" s="2">
        <v>124</v>
      </c>
      <c r="B128" s="2">
        <v>1</v>
      </c>
      <c r="C128" s="2">
        <v>18</v>
      </c>
      <c r="D128" s="2">
        <f t="shared" si="20"/>
        <v>324</v>
      </c>
      <c r="E128" s="2">
        <v>60.869799999999998</v>
      </c>
      <c r="F128" s="2">
        <v>181.2585</v>
      </c>
      <c r="G128" s="2">
        <v>0.30721599999999999</v>
      </c>
      <c r="H128" s="2">
        <v>5</v>
      </c>
      <c r="I128" s="3">
        <f t="shared" si="11"/>
        <v>-1.5647611225041334</v>
      </c>
      <c r="J128" s="3">
        <f t="shared" si="12"/>
        <v>-1.3846556421919931</v>
      </c>
      <c r="K128" s="3">
        <f t="shared" si="13"/>
        <v>-1.407569310019003</v>
      </c>
      <c r="L128" s="3">
        <f t="shared" si="14"/>
        <v>0.15244860780253922</v>
      </c>
      <c r="M128" s="3">
        <f t="shared" si="15"/>
        <v>-0.64057316018408839</v>
      </c>
      <c r="N128" s="3">
        <f t="shared" si="16"/>
        <v>0.90176998432814681</v>
      </c>
      <c r="O128" s="3">
        <f t="shared" si="17"/>
        <v>0.19360646779092791</v>
      </c>
      <c r="P128" s="3">
        <f t="shared" si="18"/>
        <v>0.54825099315567516</v>
      </c>
      <c r="Q128" s="3">
        <f t="shared" si="19"/>
        <v>-0.60102208018432079</v>
      </c>
      <c r="R128" s="3">
        <f t="shared" si="21"/>
        <v>0.45174900684432484</v>
      </c>
    </row>
    <row r="129" spans="1:18" x14ac:dyDescent="0.3">
      <c r="A129" s="2">
        <v>125</v>
      </c>
      <c r="B129" s="2">
        <v>0</v>
      </c>
      <c r="C129" s="2">
        <v>22</v>
      </c>
      <c r="D129" s="2">
        <f t="shared" si="20"/>
        <v>484</v>
      </c>
      <c r="E129" s="2">
        <v>87.466899999999995</v>
      </c>
      <c r="F129" s="2">
        <v>190.2868</v>
      </c>
      <c r="G129" s="2">
        <v>0.54645900000000003</v>
      </c>
      <c r="H129" s="2">
        <v>1</v>
      </c>
      <c r="I129" s="3">
        <f t="shared" si="11"/>
        <v>-0.9529886183484757</v>
      </c>
      <c r="J129" s="3">
        <f t="shared" si="12"/>
        <v>-0.9550527886739022</v>
      </c>
      <c r="K129" s="3">
        <f t="shared" si="13"/>
        <v>1.281010103262687</v>
      </c>
      <c r="L129" s="3">
        <f t="shared" si="14"/>
        <v>1.0654198847644876</v>
      </c>
      <c r="M129" s="3">
        <f t="shared" si="15"/>
        <v>0.19540191551097372</v>
      </c>
      <c r="N129" s="3">
        <f t="shared" si="16"/>
        <v>-1.4496510960581555</v>
      </c>
      <c r="O129" s="3">
        <f t="shared" si="17"/>
        <v>0.26297463984989383</v>
      </c>
      <c r="P129" s="3">
        <f t="shared" si="18"/>
        <v>0.56536738305998102</v>
      </c>
      <c r="Q129" s="3">
        <f t="shared" si="19"/>
        <v>-0.83325416349270776</v>
      </c>
      <c r="R129" s="3">
        <f t="shared" si="21"/>
        <v>-0.56536738305998102</v>
      </c>
    </row>
    <row r="130" spans="1:18" x14ac:dyDescent="0.3">
      <c r="A130" s="2">
        <v>126</v>
      </c>
      <c r="B130" s="2">
        <v>0</v>
      </c>
      <c r="C130" s="2">
        <v>31</v>
      </c>
      <c r="D130" s="2">
        <f t="shared" si="20"/>
        <v>961</v>
      </c>
      <c r="E130" s="2">
        <v>53.301200000000001</v>
      </c>
      <c r="F130" s="2">
        <v>166.83250000000001</v>
      </c>
      <c r="G130" s="2">
        <v>0.41719299999999998</v>
      </c>
      <c r="H130" s="2">
        <v>2</v>
      </c>
      <c r="I130" s="3">
        <f t="shared" si="11"/>
        <v>0.42349951600175367</v>
      </c>
      <c r="J130" s="3">
        <f t="shared" si="12"/>
        <v>0.32570071837690606</v>
      </c>
      <c r="K130" s="3">
        <f t="shared" si="13"/>
        <v>-2.1726445305266444</v>
      </c>
      <c r="L130" s="3">
        <f t="shared" si="14"/>
        <v>-1.3063557785662183</v>
      </c>
      <c r="M130" s="3">
        <f t="shared" si="15"/>
        <v>-0.25628592544904572</v>
      </c>
      <c r="N130" s="3">
        <f t="shared" si="16"/>
        <v>-0.86179582596158</v>
      </c>
      <c r="O130" s="3">
        <f t="shared" si="17"/>
        <v>-0.1650280010306073</v>
      </c>
      <c r="P130" s="3">
        <f t="shared" si="18"/>
        <v>0.45883637903027624</v>
      </c>
      <c r="Q130" s="3">
        <f t="shared" si="19"/>
        <v>-0.61403360414340458</v>
      </c>
      <c r="R130" s="3">
        <f t="shared" si="21"/>
        <v>-0.45883637903027624</v>
      </c>
    </row>
    <row r="131" spans="1:18" x14ac:dyDescent="0.3">
      <c r="A131" s="2">
        <v>127</v>
      </c>
      <c r="B131" s="2">
        <v>0</v>
      </c>
      <c r="C131" s="2">
        <v>24</v>
      </c>
      <c r="D131" s="2">
        <f t="shared" si="20"/>
        <v>576</v>
      </c>
      <c r="E131" s="2">
        <v>57.465299999999999</v>
      </c>
      <c r="F131" s="2">
        <v>187.23609999999999</v>
      </c>
      <c r="G131" s="2">
        <v>0.16022600000000001</v>
      </c>
      <c r="H131" s="2">
        <v>1</v>
      </c>
      <c r="I131" s="3">
        <f t="shared" si="11"/>
        <v>-0.64710236627064699</v>
      </c>
      <c r="J131" s="3">
        <f t="shared" si="12"/>
        <v>-0.70803114790099997</v>
      </c>
      <c r="K131" s="3">
        <f t="shared" si="13"/>
        <v>-1.7517146722020047</v>
      </c>
      <c r="L131" s="3">
        <f t="shared" si="14"/>
        <v>0.75692310523480633</v>
      </c>
      <c r="M131" s="3">
        <f t="shared" si="15"/>
        <v>-1.1541931046606964</v>
      </c>
      <c r="N131" s="3">
        <f t="shared" si="16"/>
        <v>-1.4496510960581555</v>
      </c>
      <c r="O131" s="3">
        <f t="shared" si="17"/>
        <v>6.4457118486504039E-2</v>
      </c>
      <c r="P131" s="3">
        <f t="shared" si="18"/>
        <v>0.51610870274516552</v>
      </c>
      <c r="Q131" s="3">
        <f t="shared" si="19"/>
        <v>-0.72589498993885537</v>
      </c>
      <c r="R131" s="3">
        <f t="shared" si="21"/>
        <v>-0.51610870274516552</v>
      </c>
    </row>
    <row r="132" spans="1:18" x14ac:dyDescent="0.3">
      <c r="A132" s="2">
        <v>128</v>
      </c>
      <c r="B132" s="2">
        <v>0</v>
      </c>
      <c r="C132" s="2">
        <v>26</v>
      </c>
      <c r="D132" s="2">
        <f t="shared" si="20"/>
        <v>676</v>
      </c>
      <c r="E132" s="2">
        <v>69.550799999999995</v>
      </c>
      <c r="F132" s="2">
        <v>186.6746</v>
      </c>
      <c r="G132" s="2">
        <v>0.170936</v>
      </c>
      <c r="H132" s="2">
        <v>4</v>
      </c>
      <c r="I132" s="3">
        <f t="shared" si="11"/>
        <v>-0.34121611419281822</v>
      </c>
      <c r="J132" s="3">
        <f t="shared" si="12"/>
        <v>-0.43952936445219321</v>
      </c>
      <c r="K132" s="3">
        <f t="shared" si="13"/>
        <v>-0.5300466520337962</v>
      </c>
      <c r="L132" s="3">
        <f t="shared" si="14"/>
        <v>0.70014238549641383</v>
      </c>
      <c r="M132" s="3">
        <f t="shared" si="15"/>
        <v>-1.1167696771802933</v>
      </c>
      <c r="N132" s="3">
        <f t="shared" si="16"/>
        <v>0.31391471423157125</v>
      </c>
      <c r="O132" s="3">
        <f t="shared" si="17"/>
        <v>7.564832700484693E-2</v>
      </c>
      <c r="P132" s="3">
        <f t="shared" si="18"/>
        <v>0.51890306794355368</v>
      </c>
      <c r="Q132" s="3">
        <f t="shared" si="19"/>
        <v>-0.73168650723232198</v>
      </c>
      <c r="R132" s="3">
        <f t="shared" si="21"/>
        <v>-0.51890306794355368</v>
      </c>
    </row>
    <row r="133" spans="1:18" x14ac:dyDescent="0.3">
      <c r="A133" s="2">
        <v>129</v>
      </c>
      <c r="B133" s="2">
        <v>1</v>
      </c>
      <c r="C133" s="2">
        <v>32</v>
      </c>
      <c r="D133" s="2">
        <f t="shared" si="20"/>
        <v>1024</v>
      </c>
      <c r="E133" s="2">
        <v>84.718199999999996</v>
      </c>
      <c r="F133" s="2">
        <v>167.87909999999999</v>
      </c>
      <c r="G133" s="2">
        <v>0.41814499999999999</v>
      </c>
      <c r="H133" s="2">
        <v>6</v>
      </c>
      <c r="I133" s="3">
        <f t="shared" ref="I133:I196" si="22">(C133-$V$3)/$W$3</f>
        <v>0.57644264204066809</v>
      </c>
      <c r="J133" s="3">
        <f t="shared" ref="J133:J196" si="23" xml:space="preserve"> (D133- $V$8)/$W$8</f>
        <v>0.49485684194965435</v>
      </c>
      <c r="K133" s="3">
        <f t="shared" ref="K133:K196" si="24">(E133-$V$4)/$W$4</f>
        <v>1.003156569107182</v>
      </c>
      <c r="L133" s="3">
        <f t="shared" ref="L133:L196" si="25">(F133-$V$5)/$W$5</f>
        <v>-1.2005201574118083</v>
      </c>
      <c r="M133" s="3">
        <f t="shared" ref="M133:M196" si="26">(G133-$V$6)/$W$6</f>
        <v>-0.2529593985618987</v>
      </c>
      <c r="N133" s="3">
        <f t="shared" ref="N133:N196" si="27">(H133-$V$7)/$W$7</f>
        <v>1.4896252544247224</v>
      </c>
      <c r="O133" s="3">
        <f t="shared" ref="O133:O196" si="28">$V$11+$V$12*I133+$V$17*J133+$V$13*K133+$V$14*L133+$V$15*M133+$V$16*N133</f>
        <v>5.8116584904839737E-3</v>
      </c>
      <c r="P133" s="3">
        <f t="shared" ref="P133:P196" si="29">1/(1+EXP(-O133))</f>
        <v>0.50145291053324015</v>
      </c>
      <c r="Q133" s="3">
        <f t="shared" ref="Q133:Q196" si="30">B133*LN(P133)+(1-B133)*LN(1-P133)</f>
        <v>-0.69024557323056313</v>
      </c>
      <c r="R133" s="3">
        <f t="shared" si="21"/>
        <v>0.49854708946675985</v>
      </c>
    </row>
    <row r="134" spans="1:18" x14ac:dyDescent="0.3">
      <c r="A134" s="2">
        <v>130</v>
      </c>
      <c r="B134" s="2">
        <v>1</v>
      </c>
      <c r="C134" s="2">
        <v>32</v>
      </c>
      <c r="D134" s="2">
        <f t="shared" ref="D134:D197" si="31">C134^2</f>
        <v>1024</v>
      </c>
      <c r="E134" s="2">
        <v>74.690399999999997</v>
      </c>
      <c r="F134" s="2">
        <v>188.34229999999999</v>
      </c>
      <c r="G134" s="2">
        <v>0.75728300000000004</v>
      </c>
      <c r="H134" s="2">
        <v>1</v>
      </c>
      <c r="I134" s="3">
        <f t="shared" si="22"/>
        <v>0.57644264204066809</v>
      </c>
      <c r="J134" s="3">
        <f t="shared" si="23"/>
        <v>0.49485684194965435</v>
      </c>
      <c r="K134" s="3">
        <f t="shared" si="24"/>
        <v>-1.0507952231841075E-2</v>
      </c>
      <c r="L134" s="3">
        <f t="shared" si="25"/>
        <v>0.86878567366688197</v>
      </c>
      <c r="M134" s="3">
        <f t="shared" si="26"/>
        <v>0.93207387397302177</v>
      </c>
      <c r="N134" s="3">
        <f t="shared" si="27"/>
        <v>-1.4496510960581555</v>
      </c>
      <c r="O134" s="3">
        <f t="shared" si="28"/>
        <v>-2.2057180912172805E-2</v>
      </c>
      <c r="P134" s="3">
        <f t="shared" si="29"/>
        <v>0.49448592832863592</v>
      </c>
      <c r="Q134" s="3">
        <f t="shared" si="30"/>
        <v>-0.70423658468697825</v>
      </c>
      <c r="R134" s="3">
        <f t="shared" ref="R134:R197" si="32">B134-P134</f>
        <v>0.50551407167136408</v>
      </c>
    </row>
    <row r="135" spans="1:18" x14ac:dyDescent="0.3">
      <c r="A135" s="2">
        <v>131</v>
      </c>
      <c r="B135" s="2">
        <v>0</v>
      </c>
      <c r="C135" s="2">
        <v>27</v>
      </c>
      <c r="D135" s="2">
        <f t="shared" si="31"/>
        <v>729</v>
      </c>
      <c r="E135" s="2">
        <v>71.642799999999994</v>
      </c>
      <c r="F135" s="2">
        <v>182.727</v>
      </c>
      <c r="G135" s="2">
        <v>0.89796500000000001</v>
      </c>
      <c r="H135" s="2">
        <v>4</v>
      </c>
      <c r="I135" s="3">
        <f t="shared" si="22"/>
        <v>-0.18827298815390386</v>
      </c>
      <c r="J135" s="3">
        <f t="shared" si="23"/>
        <v>-0.29722341922432566</v>
      </c>
      <c r="K135" s="3">
        <f t="shared" si="24"/>
        <v>-0.31857592279695107</v>
      </c>
      <c r="L135" s="3">
        <f t="shared" si="25"/>
        <v>0.30094813930001124</v>
      </c>
      <c r="M135" s="3">
        <f t="shared" si="26"/>
        <v>1.4236520835713493</v>
      </c>
      <c r="N135" s="3">
        <f t="shared" si="27"/>
        <v>0.31391471423157125</v>
      </c>
      <c r="O135" s="3">
        <f t="shared" si="28"/>
        <v>-4.5221997170456274E-2</v>
      </c>
      <c r="P135" s="3">
        <f t="shared" si="29"/>
        <v>0.48869642698630983</v>
      </c>
      <c r="Q135" s="3">
        <f t="shared" si="30"/>
        <v>-0.67079178882419854</v>
      </c>
      <c r="R135" s="3">
        <f t="shared" si="32"/>
        <v>-0.48869642698630983</v>
      </c>
    </row>
    <row r="136" spans="1:18" x14ac:dyDescent="0.3">
      <c r="A136" s="2">
        <v>132</v>
      </c>
      <c r="B136" s="2">
        <v>0</v>
      </c>
      <c r="C136" s="2">
        <v>30</v>
      </c>
      <c r="D136" s="2">
        <f t="shared" si="31"/>
        <v>900</v>
      </c>
      <c r="E136" s="2">
        <v>88.460400000000007</v>
      </c>
      <c r="F136" s="2">
        <v>186.50380000000001</v>
      </c>
      <c r="G136" s="2">
        <v>8.4127999999999994E-2</v>
      </c>
      <c r="H136" s="2">
        <v>1</v>
      </c>
      <c r="I136" s="3">
        <f t="shared" si="22"/>
        <v>0.27055638996283926</v>
      </c>
      <c r="J136" s="3">
        <f t="shared" si="23"/>
        <v>0.16191463047313392</v>
      </c>
      <c r="K136" s="3">
        <f t="shared" si="24"/>
        <v>1.3814384825632644</v>
      </c>
      <c r="L136" s="3">
        <f t="shared" si="25"/>
        <v>0.68287052987519081</v>
      </c>
      <c r="M136" s="3">
        <f t="shared" si="26"/>
        <v>-1.4200986120746766</v>
      </c>
      <c r="N136" s="3">
        <f t="shared" si="27"/>
        <v>-1.4496510960581555</v>
      </c>
      <c r="O136" s="3">
        <f t="shared" si="28"/>
        <v>0.18075094528712493</v>
      </c>
      <c r="P136" s="3">
        <f t="shared" si="29"/>
        <v>0.54506510992062995</v>
      </c>
      <c r="Q136" s="3">
        <f t="shared" si="30"/>
        <v>-0.78760096899744547</v>
      </c>
      <c r="R136" s="3">
        <f t="shared" si="32"/>
        <v>-0.54506510992062995</v>
      </c>
    </row>
    <row r="137" spans="1:18" x14ac:dyDescent="0.3">
      <c r="A137" s="2">
        <v>133</v>
      </c>
      <c r="B137" s="2">
        <v>1</v>
      </c>
      <c r="C137" s="2">
        <v>36</v>
      </c>
      <c r="D137" s="2">
        <f t="shared" si="31"/>
        <v>1296</v>
      </c>
      <c r="E137" s="2">
        <v>96.552400000000006</v>
      </c>
      <c r="F137" s="2">
        <v>170.33690000000001</v>
      </c>
      <c r="G137" s="2">
        <v>0.39310400000000001</v>
      </c>
      <c r="H137" s="2">
        <v>1</v>
      </c>
      <c r="I137" s="3">
        <f t="shared" si="22"/>
        <v>1.1882151461963255</v>
      </c>
      <c r="J137" s="3">
        <f t="shared" si="23"/>
        <v>1.2251816929304087</v>
      </c>
      <c r="K137" s="3">
        <f t="shared" si="24"/>
        <v>2.1994218195539679</v>
      </c>
      <c r="L137" s="3">
        <f t="shared" si="25"/>
        <v>-0.95197936850170395</v>
      </c>
      <c r="M137" s="3">
        <f t="shared" si="26"/>
        <v>-0.34045893614703199</v>
      </c>
      <c r="N137" s="3">
        <f t="shared" si="27"/>
        <v>-1.4496510960581555</v>
      </c>
      <c r="O137" s="3">
        <f t="shared" si="28"/>
        <v>0.12842178387637443</v>
      </c>
      <c r="P137" s="3">
        <f t="shared" si="29"/>
        <v>0.53206139461970137</v>
      </c>
      <c r="Q137" s="3">
        <f t="shared" si="30"/>
        <v>-0.63099639287846387</v>
      </c>
      <c r="R137" s="3">
        <f t="shared" si="32"/>
        <v>0.46793860538029863</v>
      </c>
    </row>
    <row r="138" spans="1:18" x14ac:dyDescent="0.3">
      <c r="A138" s="2">
        <v>134</v>
      </c>
      <c r="B138" s="2">
        <v>1</v>
      </c>
      <c r="C138" s="2">
        <v>24</v>
      </c>
      <c r="D138" s="2">
        <f t="shared" si="31"/>
        <v>576</v>
      </c>
      <c r="E138" s="2">
        <v>81.7226</v>
      </c>
      <c r="F138" s="2">
        <v>181.50139999999999</v>
      </c>
      <c r="G138" s="2">
        <v>0.100246</v>
      </c>
      <c r="H138" s="2">
        <v>5</v>
      </c>
      <c r="I138" s="3">
        <f t="shared" si="22"/>
        <v>-0.64710236627064699</v>
      </c>
      <c r="J138" s="3">
        <f t="shared" si="23"/>
        <v>-0.70803114790099997</v>
      </c>
      <c r="K138" s="3">
        <f t="shared" si="24"/>
        <v>0.70034504114260621</v>
      </c>
      <c r="L138" s="3">
        <f t="shared" si="25"/>
        <v>0.17701145165731252</v>
      </c>
      <c r="M138" s="3">
        <f t="shared" si="26"/>
        <v>-1.3637782755546823</v>
      </c>
      <c r="N138" s="3">
        <f t="shared" si="27"/>
        <v>0.90176998432814681</v>
      </c>
      <c r="O138" s="3">
        <f t="shared" si="28"/>
        <v>0.18788782185898997</v>
      </c>
      <c r="P138" s="3">
        <f t="shared" si="29"/>
        <v>0.54683425852678103</v>
      </c>
      <c r="Q138" s="3">
        <f t="shared" si="30"/>
        <v>-0.60360952333930984</v>
      </c>
      <c r="R138" s="3">
        <f t="shared" si="32"/>
        <v>0.45316574147321897</v>
      </c>
    </row>
    <row r="139" spans="1:18" x14ac:dyDescent="0.3">
      <c r="A139" s="2">
        <v>135</v>
      </c>
      <c r="B139" s="2">
        <v>1</v>
      </c>
      <c r="C139" s="2">
        <v>34</v>
      </c>
      <c r="D139" s="2">
        <f t="shared" si="31"/>
        <v>1156</v>
      </c>
      <c r="E139" s="2">
        <v>68.771500000000003</v>
      </c>
      <c r="F139" s="2">
        <v>162.9512</v>
      </c>
      <c r="G139" s="2">
        <v>1.6591999999999999E-2</v>
      </c>
      <c r="H139" s="2">
        <v>2</v>
      </c>
      <c r="I139" s="3">
        <f t="shared" si="22"/>
        <v>0.8823288941184968</v>
      </c>
      <c r="J139" s="3">
        <f t="shared" si="23"/>
        <v>0.84927919610207925</v>
      </c>
      <c r="K139" s="3">
        <f t="shared" si="24"/>
        <v>-0.60882253123755892</v>
      </c>
      <c r="L139" s="3">
        <f t="shared" si="25"/>
        <v>-1.698845551532604</v>
      </c>
      <c r="M139" s="3">
        <f t="shared" si="26"/>
        <v>-1.6560863430099253</v>
      </c>
      <c r="N139" s="3">
        <f t="shared" si="27"/>
        <v>-0.86179582596158</v>
      </c>
      <c r="O139" s="3">
        <f t="shared" si="28"/>
        <v>-2.6387406547732965E-2</v>
      </c>
      <c r="P139" s="3">
        <f t="shared" si="29"/>
        <v>0.49340353111610669</v>
      </c>
      <c r="Q139" s="3">
        <f t="shared" si="30"/>
        <v>-0.70642791821182771</v>
      </c>
      <c r="R139" s="3">
        <f t="shared" si="32"/>
        <v>0.50659646888389331</v>
      </c>
    </row>
    <row r="140" spans="1:18" x14ac:dyDescent="0.3">
      <c r="A140" s="2">
        <v>136</v>
      </c>
      <c r="B140" s="2">
        <v>1</v>
      </c>
      <c r="C140" s="2">
        <v>37</v>
      </c>
      <c r="D140" s="2">
        <f t="shared" si="31"/>
        <v>1369</v>
      </c>
      <c r="E140" s="2">
        <v>70.818600000000004</v>
      </c>
      <c r="F140" s="2">
        <v>157.23009999999999</v>
      </c>
      <c r="G140" s="2">
        <v>0.66171899999999995</v>
      </c>
      <c r="H140" s="2">
        <v>6</v>
      </c>
      <c r="I140" s="3">
        <f t="shared" si="22"/>
        <v>1.34115827223524</v>
      </c>
      <c r="J140" s="3">
        <f t="shared" si="23"/>
        <v>1.4211879948480377</v>
      </c>
      <c r="K140" s="3">
        <f t="shared" si="24"/>
        <v>-0.40189053801540509</v>
      </c>
      <c r="L140" s="3">
        <f t="shared" si="25"/>
        <v>-2.2773819285500942</v>
      </c>
      <c r="M140" s="3">
        <f t="shared" si="26"/>
        <v>0.59814927791912265</v>
      </c>
      <c r="N140" s="3">
        <f t="shared" si="27"/>
        <v>1.4896252544247224</v>
      </c>
      <c r="O140" s="3">
        <f t="shared" si="28"/>
        <v>-0.14997306416477404</v>
      </c>
      <c r="P140" s="3">
        <f t="shared" si="29"/>
        <v>0.46257685088488243</v>
      </c>
      <c r="Q140" s="3">
        <f t="shared" si="30"/>
        <v>-0.77094257175795655</v>
      </c>
      <c r="R140" s="3">
        <f t="shared" si="32"/>
        <v>0.53742314911511757</v>
      </c>
    </row>
    <row r="141" spans="1:18" x14ac:dyDescent="0.3">
      <c r="A141" s="2">
        <v>137</v>
      </c>
      <c r="B141" s="2">
        <v>0</v>
      </c>
      <c r="C141" s="2">
        <v>21</v>
      </c>
      <c r="D141" s="2">
        <f t="shared" si="31"/>
        <v>441</v>
      </c>
      <c r="E141" s="2">
        <v>62.115499999999997</v>
      </c>
      <c r="F141" s="2">
        <v>181.4083</v>
      </c>
      <c r="G141" s="2">
        <v>0.60244900000000001</v>
      </c>
      <c r="H141" s="2">
        <v>2</v>
      </c>
      <c r="I141" s="3">
        <f t="shared" si="22"/>
        <v>-1.1059317443873902</v>
      </c>
      <c r="J141" s="3">
        <f t="shared" si="23"/>
        <v>-1.0705085555568892</v>
      </c>
      <c r="K141" s="3">
        <f t="shared" si="24"/>
        <v>-1.2816471841058397</v>
      </c>
      <c r="L141" s="3">
        <f t="shared" si="25"/>
        <v>0.16759687461787534</v>
      </c>
      <c r="M141" s="3">
        <f t="shared" si="26"/>
        <v>0.39104502518676992</v>
      </c>
      <c r="N141" s="3">
        <f t="shared" si="27"/>
        <v>-0.86179582596158</v>
      </c>
      <c r="O141" s="3">
        <f t="shared" si="28"/>
        <v>8.5787269308657321E-2</v>
      </c>
      <c r="P141" s="3">
        <f t="shared" si="29"/>
        <v>0.52143367392496187</v>
      </c>
      <c r="Q141" s="3">
        <f t="shared" si="30"/>
        <v>-0.73696046520793324</v>
      </c>
      <c r="R141" s="3">
        <f t="shared" si="32"/>
        <v>-0.52143367392496187</v>
      </c>
    </row>
    <row r="142" spans="1:18" x14ac:dyDescent="0.3">
      <c r="A142" s="2">
        <v>138</v>
      </c>
      <c r="B142" s="2">
        <v>1</v>
      </c>
      <c r="C142" s="2">
        <v>22</v>
      </c>
      <c r="D142" s="2">
        <f t="shared" si="31"/>
        <v>484</v>
      </c>
      <c r="E142" s="2">
        <v>76.008200000000002</v>
      </c>
      <c r="F142" s="2">
        <v>191.006</v>
      </c>
      <c r="G142" s="2">
        <v>0.163019</v>
      </c>
      <c r="H142" s="2">
        <v>3</v>
      </c>
      <c r="I142" s="3">
        <f t="shared" si="22"/>
        <v>-0.9529886183484757</v>
      </c>
      <c r="J142" s="3">
        <f t="shared" si="23"/>
        <v>-0.9550527886739022</v>
      </c>
      <c r="K142" s="3">
        <f t="shared" si="24"/>
        <v>0.12270243351783186</v>
      </c>
      <c r="L142" s="3">
        <f t="shared" si="25"/>
        <v>1.1381477452023367</v>
      </c>
      <c r="M142" s="3">
        <f t="shared" si="26"/>
        <v>-1.144433661807964</v>
      </c>
      <c r="N142" s="3">
        <f t="shared" si="27"/>
        <v>-0.27394055586500432</v>
      </c>
      <c r="O142" s="3">
        <f t="shared" si="28"/>
        <v>0.22927187861799761</v>
      </c>
      <c r="P142" s="3">
        <f t="shared" si="29"/>
        <v>0.55706820305698579</v>
      </c>
      <c r="Q142" s="3">
        <f t="shared" si="30"/>
        <v>-0.58506759941088182</v>
      </c>
      <c r="R142" s="3">
        <f t="shared" si="32"/>
        <v>0.44293179694301421</v>
      </c>
    </row>
    <row r="143" spans="1:18" x14ac:dyDescent="0.3">
      <c r="A143" s="2">
        <v>139</v>
      </c>
      <c r="B143" s="2">
        <v>1</v>
      </c>
      <c r="C143" s="2">
        <v>24</v>
      </c>
      <c r="D143" s="2">
        <f t="shared" si="31"/>
        <v>576</v>
      </c>
      <c r="E143" s="2">
        <v>58.704099999999997</v>
      </c>
      <c r="F143" s="2">
        <v>182.52940000000001</v>
      </c>
      <c r="G143" s="2">
        <v>0.23381299999999999</v>
      </c>
      <c r="H143" s="2">
        <v>5</v>
      </c>
      <c r="I143" s="3">
        <f t="shared" si="22"/>
        <v>-0.64710236627064699</v>
      </c>
      <c r="J143" s="3">
        <f t="shared" si="23"/>
        <v>-0.70803114790099997</v>
      </c>
      <c r="K143" s="3">
        <f t="shared" si="24"/>
        <v>-1.6264900357877583</v>
      </c>
      <c r="L143" s="3">
        <f t="shared" si="25"/>
        <v>0.28096617986936806</v>
      </c>
      <c r="M143" s="3">
        <f t="shared" si="26"/>
        <v>-0.89706166133665977</v>
      </c>
      <c r="N143" s="3">
        <f t="shared" si="27"/>
        <v>0.90176998432814681</v>
      </c>
      <c r="O143" s="3">
        <f t="shared" si="28"/>
        <v>1.7916966640097384E-2</v>
      </c>
      <c r="P143" s="3">
        <f t="shared" si="29"/>
        <v>0.50447912183755195</v>
      </c>
      <c r="Q143" s="3">
        <f t="shared" si="30"/>
        <v>-0.68422882391487494</v>
      </c>
      <c r="R143" s="3">
        <f t="shared" si="32"/>
        <v>0.49552087816244805</v>
      </c>
    </row>
    <row r="144" spans="1:18" x14ac:dyDescent="0.3">
      <c r="A144" s="2">
        <v>140</v>
      </c>
      <c r="B144" s="2">
        <v>0</v>
      </c>
      <c r="C144" s="2">
        <v>30</v>
      </c>
      <c r="D144" s="2">
        <f t="shared" si="31"/>
        <v>900</v>
      </c>
      <c r="E144" s="2">
        <v>80.518600000000006</v>
      </c>
      <c r="F144" s="2">
        <v>179.3655</v>
      </c>
      <c r="G144" s="2">
        <v>2.3708E-2</v>
      </c>
      <c r="H144" s="2">
        <v>5</v>
      </c>
      <c r="I144" s="3">
        <f t="shared" si="22"/>
        <v>0.27055638996283926</v>
      </c>
      <c r="J144" s="3">
        <f t="shared" si="23"/>
        <v>0.16191463047313392</v>
      </c>
      <c r="K144" s="3">
        <f t="shared" si="24"/>
        <v>0.5786381778533326</v>
      </c>
      <c r="L144" s="3">
        <f t="shared" si="25"/>
        <v>-3.8977754556816201E-2</v>
      </c>
      <c r="M144" s="3">
        <f t="shared" si="26"/>
        <v>-1.6312212533786883</v>
      </c>
      <c r="N144" s="3">
        <f t="shared" si="27"/>
        <v>0.90176998432814681</v>
      </c>
      <c r="O144" s="3">
        <f t="shared" si="28"/>
        <v>8.7572152370991807E-2</v>
      </c>
      <c r="P144" s="3">
        <f t="shared" si="29"/>
        <v>0.52187905755391617</v>
      </c>
      <c r="Q144" s="3">
        <f t="shared" si="30"/>
        <v>-0.73789156082462204</v>
      </c>
      <c r="R144" s="3">
        <f t="shared" si="32"/>
        <v>-0.52187905755391617</v>
      </c>
    </row>
    <row r="145" spans="1:18" x14ac:dyDescent="0.3">
      <c r="A145" s="2">
        <v>141</v>
      </c>
      <c r="B145" s="2">
        <v>1</v>
      </c>
      <c r="C145" s="2">
        <v>32</v>
      </c>
      <c r="D145" s="2">
        <f t="shared" si="31"/>
        <v>1024</v>
      </c>
      <c r="E145" s="2">
        <v>95.055700000000002</v>
      </c>
      <c r="F145" s="2">
        <v>178.12469999999999</v>
      </c>
      <c r="G145" s="2">
        <v>0.83494699999999999</v>
      </c>
      <c r="H145" s="2">
        <v>2</v>
      </c>
      <c r="I145" s="3">
        <f t="shared" si="22"/>
        <v>0.57644264204066809</v>
      </c>
      <c r="J145" s="3">
        <f t="shared" si="23"/>
        <v>0.49485684194965435</v>
      </c>
      <c r="K145" s="3">
        <f t="shared" si="24"/>
        <v>2.0481272495497675</v>
      </c>
      <c r="L145" s="3">
        <f t="shared" si="25"/>
        <v>-0.16445151600187141</v>
      </c>
      <c r="M145" s="3">
        <f t="shared" si="26"/>
        <v>1.2034513783463212</v>
      </c>
      <c r="N145" s="3">
        <f t="shared" si="27"/>
        <v>-0.86179582596158</v>
      </c>
      <c r="O145" s="3">
        <f t="shared" si="28"/>
        <v>6.9224685203762862E-2</v>
      </c>
      <c r="P145" s="3">
        <f t="shared" si="29"/>
        <v>0.51729926359779554</v>
      </c>
      <c r="Q145" s="3">
        <f t="shared" si="30"/>
        <v>-0.65913372552327387</v>
      </c>
      <c r="R145" s="3">
        <f t="shared" si="32"/>
        <v>0.48270073640220446</v>
      </c>
    </row>
    <row r="146" spans="1:18" x14ac:dyDescent="0.3">
      <c r="A146" s="2">
        <v>142</v>
      </c>
      <c r="B146" s="2">
        <v>1</v>
      </c>
      <c r="C146" s="2">
        <v>28</v>
      </c>
      <c r="D146" s="2">
        <f t="shared" si="31"/>
        <v>784</v>
      </c>
      <c r="E146" s="2">
        <v>82.175899999999999</v>
      </c>
      <c r="F146" s="2">
        <v>170.57429999999999</v>
      </c>
      <c r="G146" s="2">
        <v>0.97469099999999997</v>
      </c>
      <c r="H146" s="2">
        <v>5</v>
      </c>
      <c r="I146" s="3">
        <f t="shared" si="22"/>
        <v>-3.5329862114989473E-2</v>
      </c>
      <c r="J146" s="3">
        <f t="shared" si="23"/>
        <v>-0.14954743832748191</v>
      </c>
      <c r="K146" s="3">
        <f t="shared" si="24"/>
        <v>0.74616706865840998</v>
      </c>
      <c r="L146" s="3">
        <f t="shared" si="25"/>
        <v>-0.92797270266752174</v>
      </c>
      <c r="M146" s="3">
        <f t="shared" si="26"/>
        <v>1.6917519805705481</v>
      </c>
      <c r="N146" s="3">
        <f t="shared" si="27"/>
        <v>0.90176998432814681</v>
      </c>
      <c r="O146" s="3">
        <f t="shared" si="28"/>
        <v>-3.8881633982721285E-2</v>
      </c>
      <c r="P146" s="3">
        <f t="shared" si="29"/>
        <v>0.49028081591366263</v>
      </c>
      <c r="Q146" s="3">
        <f t="shared" si="30"/>
        <v>-0.71277695833159305</v>
      </c>
      <c r="R146" s="3">
        <f t="shared" si="32"/>
        <v>0.50971918408633732</v>
      </c>
    </row>
    <row r="147" spans="1:18" x14ac:dyDescent="0.3">
      <c r="A147" s="2">
        <v>143</v>
      </c>
      <c r="B147" s="2">
        <v>0</v>
      </c>
      <c r="C147" s="2">
        <v>21</v>
      </c>
      <c r="D147" s="2">
        <f t="shared" si="31"/>
        <v>441</v>
      </c>
      <c r="E147" s="2">
        <v>70.308499999999995</v>
      </c>
      <c r="F147" s="2">
        <v>177.78139999999999</v>
      </c>
      <c r="G147" s="2">
        <v>0.13546</v>
      </c>
      <c r="H147" s="2">
        <v>2</v>
      </c>
      <c r="I147" s="3">
        <f t="shared" si="22"/>
        <v>-1.1059317443873902</v>
      </c>
      <c r="J147" s="3">
        <f t="shared" si="23"/>
        <v>-1.0705085555568892</v>
      </c>
      <c r="K147" s="3">
        <f t="shared" si="24"/>
        <v>-0.45345421821794646</v>
      </c>
      <c r="L147" s="3">
        <f t="shared" si="25"/>
        <v>-0.19916713681432074</v>
      </c>
      <c r="M147" s="3">
        <f t="shared" si="26"/>
        <v>-1.2407317232395638</v>
      </c>
      <c r="N147" s="3">
        <f t="shared" si="27"/>
        <v>-0.86179582596158</v>
      </c>
      <c r="O147" s="3">
        <f t="shared" si="28"/>
        <v>0.20093291958510565</v>
      </c>
      <c r="P147" s="3">
        <f t="shared" si="29"/>
        <v>0.55006489961914706</v>
      </c>
      <c r="Q147" s="3">
        <f t="shared" si="30"/>
        <v>-0.79865192799455664</v>
      </c>
      <c r="R147" s="3">
        <f t="shared" si="32"/>
        <v>-0.55006489961914706</v>
      </c>
    </row>
    <row r="148" spans="1:18" x14ac:dyDescent="0.3">
      <c r="A148" s="2">
        <v>144</v>
      </c>
      <c r="B148" s="2">
        <v>0</v>
      </c>
      <c r="C148" s="2">
        <v>30</v>
      </c>
      <c r="D148" s="2">
        <f t="shared" si="31"/>
        <v>900</v>
      </c>
      <c r="E148" s="2">
        <v>80.269400000000005</v>
      </c>
      <c r="F148" s="2">
        <v>184.21680000000001</v>
      </c>
      <c r="G148" s="2">
        <v>0.23147499999999999</v>
      </c>
      <c r="H148" s="2">
        <v>5</v>
      </c>
      <c r="I148" s="3">
        <f t="shared" si="22"/>
        <v>0.27055638996283926</v>
      </c>
      <c r="J148" s="3">
        <f t="shared" si="23"/>
        <v>0.16191463047313392</v>
      </c>
      <c r="K148" s="3">
        <f t="shared" si="24"/>
        <v>0.55344768754462215</v>
      </c>
      <c r="L148" s="3">
        <f t="shared" si="25"/>
        <v>0.45160159658631238</v>
      </c>
      <c r="M148" s="3">
        <f t="shared" si="26"/>
        <v>-0.90523122001538836</v>
      </c>
      <c r="N148" s="3">
        <f t="shared" si="27"/>
        <v>0.90176998432814681</v>
      </c>
      <c r="O148" s="3">
        <f t="shared" si="28"/>
        <v>6.643665968363649E-2</v>
      </c>
      <c r="P148" s="3">
        <f t="shared" si="29"/>
        <v>0.51660305844733434</v>
      </c>
      <c r="Q148" s="3">
        <f t="shared" si="30"/>
        <v>-0.72691713768215804</v>
      </c>
      <c r="R148" s="3">
        <f t="shared" si="32"/>
        <v>-0.51660305844733434</v>
      </c>
    </row>
    <row r="149" spans="1:18" x14ac:dyDescent="0.3">
      <c r="A149" s="2">
        <v>145</v>
      </c>
      <c r="B149" s="2">
        <v>0</v>
      </c>
      <c r="C149" s="2">
        <v>24</v>
      </c>
      <c r="D149" s="2">
        <f t="shared" si="31"/>
        <v>576</v>
      </c>
      <c r="E149" s="2">
        <v>91.205299999999994</v>
      </c>
      <c r="F149" s="2">
        <v>175.64779999999999</v>
      </c>
      <c r="G149" s="2">
        <v>0.86841000000000002</v>
      </c>
      <c r="H149" s="2">
        <v>1</v>
      </c>
      <c r="I149" s="3">
        <f t="shared" si="22"/>
        <v>-0.64710236627064699</v>
      </c>
      <c r="J149" s="3">
        <f t="shared" si="23"/>
        <v>-0.70803114790099997</v>
      </c>
      <c r="K149" s="3">
        <f t="shared" si="24"/>
        <v>1.6589078920671907</v>
      </c>
      <c r="L149" s="3">
        <f t="shared" si="25"/>
        <v>-0.41492375949256732</v>
      </c>
      <c r="M149" s="3">
        <f t="shared" si="26"/>
        <v>1.3203794972797231</v>
      </c>
      <c r="N149" s="3">
        <f t="shared" si="27"/>
        <v>-1.4496510960581555</v>
      </c>
      <c r="O149" s="3">
        <f t="shared" si="28"/>
        <v>0.15572154633476953</v>
      </c>
      <c r="P149" s="3">
        <f t="shared" si="29"/>
        <v>0.53885190765581614</v>
      </c>
      <c r="Q149" s="3">
        <f t="shared" si="30"/>
        <v>-0.77403604604498666</v>
      </c>
      <c r="R149" s="3">
        <f t="shared" si="32"/>
        <v>-0.53885190765581614</v>
      </c>
    </row>
    <row r="150" spans="1:18" x14ac:dyDescent="0.3">
      <c r="A150" s="2">
        <v>146</v>
      </c>
      <c r="B150" s="2">
        <v>1</v>
      </c>
      <c r="C150" s="2">
        <v>36</v>
      </c>
      <c r="D150" s="2">
        <f t="shared" si="31"/>
        <v>1296</v>
      </c>
      <c r="E150" s="2">
        <v>90.704899999999995</v>
      </c>
      <c r="F150" s="2">
        <v>187.5059</v>
      </c>
      <c r="G150" s="2">
        <v>0.92646399999999995</v>
      </c>
      <c r="H150" s="2">
        <v>2</v>
      </c>
      <c r="I150" s="3">
        <f t="shared" si="22"/>
        <v>1.1882151461963255</v>
      </c>
      <c r="J150" s="3">
        <f t="shared" si="23"/>
        <v>1.2251816929304087</v>
      </c>
      <c r="K150" s="3">
        <f t="shared" si="24"/>
        <v>1.608324740580519</v>
      </c>
      <c r="L150" s="3">
        <f t="shared" si="25"/>
        <v>0.78420616522664721</v>
      </c>
      <c r="M150" s="3">
        <f t="shared" si="26"/>
        <v>1.5232347408789133</v>
      </c>
      <c r="N150" s="3">
        <f t="shared" si="27"/>
        <v>-0.86179582596158</v>
      </c>
      <c r="O150" s="3">
        <f t="shared" si="28"/>
        <v>4.2507025613764092E-2</v>
      </c>
      <c r="P150" s="3">
        <f t="shared" si="29"/>
        <v>0.51062515661538654</v>
      </c>
      <c r="Q150" s="3">
        <f t="shared" si="30"/>
        <v>-0.67211950665479747</v>
      </c>
      <c r="R150" s="3">
        <f t="shared" si="32"/>
        <v>0.48937484338461346</v>
      </c>
    </row>
    <row r="151" spans="1:18" x14ac:dyDescent="0.3">
      <c r="A151" s="2">
        <v>147</v>
      </c>
      <c r="B151" s="2">
        <v>1</v>
      </c>
      <c r="C151" s="2">
        <v>39</v>
      </c>
      <c r="D151" s="2">
        <f t="shared" si="31"/>
        <v>1521</v>
      </c>
      <c r="E151" s="2">
        <v>64.962400000000002</v>
      </c>
      <c r="F151" s="2">
        <v>181.9598</v>
      </c>
      <c r="G151" s="2">
        <v>0.41962699999999997</v>
      </c>
      <c r="H151" s="2">
        <v>2</v>
      </c>
      <c r="I151" s="3">
        <f t="shared" si="22"/>
        <v>1.6470445243130687</v>
      </c>
      <c r="J151" s="3">
        <f t="shared" si="23"/>
        <v>1.829310705690224</v>
      </c>
      <c r="K151" s="3">
        <f t="shared" si="24"/>
        <v>-0.99386706027009597</v>
      </c>
      <c r="L151" s="3">
        <f t="shared" si="25"/>
        <v>0.22336636159156012</v>
      </c>
      <c r="M151" s="3">
        <f t="shared" si="26"/>
        <v>-0.247780918680857</v>
      </c>
      <c r="N151" s="3">
        <f t="shared" si="27"/>
        <v>-0.86179582596158</v>
      </c>
      <c r="O151" s="3">
        <f t="shared" si="28"/>
        <v>-4.8213428429583018E-2</v>
      </c>
      <c r="P151" s="3">
        <f t="shared" si="29"/>
        <v>0.48794897722053465</v>
      </c>
      <c r="Q151" s="3">
        <f t="shared" si="30"/>
        <v>-0.71754443347118557</v>
      </c>
      <c r="R151" s="3">
        <f t="shared" si="32"/>
        <v>0.51205102277946535</v>
      </c>
    </row>
    <row r="152" spans="1:18" x14ac:dyDescent="0.3">
      <c r="A152" s="2">
        <v>148</v>
      </c>
      <c r="B152" s="2">
        <v>0</v>
      </c>
      <c r="C152" s="2">
        <v>19</v>
      </c>
      <c r="D152" s="2">
        <f t="shared" si="31"/>
        <v>361</v>
      </c>
      <c r="E152" s="2">
        <v>80.102999999999994</v>
      </c>
      <c r="F152" s="2">
        <v>183.16980000000001</v>
      </c>
      <c r="G152" s="2">
        <v>5.0622E-2</v>
      </c>
      <c r="H152" s="2">
        <v>4</v>
      </c>
      <c r="I152" s="3">
        <f t="shared" si="22"/>
        <v>-1.4118179964652189</v>
      </c>
      <c r="J152" s="3">
        <f t="shared" si="23"/>
        <v>-1.2853099823159346</v>
      </c>
      <c r="K152" s="3">
        <f t="shared" si="24"/>
        <v>0.5366270712229142</v>
      </c>
      <c r="L152" s="3">
        <f t="shared" si="25"/>
        <v>0.34572552612131263</v>
      </c>
      <c r="M152" s="3">
        <f t="shared" si="26"/>
        <v>-1.5371769837981493</v>
      </c>
      <c r="N152" s="3">
        <f t="shared" si="27"/>
        <v>0.31391471423157125</v>
      </c>
      <c r="O152" s="3">
        <f t="shared" si="28"/>
        <v>0.33733240385914209</v>
      </c>
      <c r="P152" s="3">
        <f t="shared" si="29"/>
        <v>0.58354238676125336</v>
      </c>
      <c r="Q152" s="3">
        <f t="shared" si="30"/>
        <v>-0.87597059148863099</v>
      </c>
      <c r="R152" s="3">
        <f t="shared" si="32"/>
        <v>-0.58354238676125336</v>
      </c>
    </row>
    <row r="153" spans="1:18" x14ac:dyDescent="0.3">
      <c r="A153" s="2">
        <v>149</v>
      </c>
      <c r="B153" s="2">
        <v>0</v>
      </c>
      <c r="C153" s="2">
        <v>27</v>
      </c>
      <c r="D153" s="2">
        <f t="shared" si="31"/>
        <v>729</v>
      </c>
      <c r="E153" s="2">
        <v>73.418999999999997</v>
      </c>
      <c r="F153" s="2">
        <v>188.88659999999999</v>
      </c>
      <c r="G153" s="2">
        <v>3.9392000000000003E-2</v>
      </c>
      <c r="H153" s="2">
        <v>5</v>
      </c>
      <c r="I153" s="3">
        <f t="shared" si="22"/>
        <v>-0.18827298815390386</v>
      </c>
      <c r="J153" s="3">
        <f t="shared" si="23"/>
        <v>-0.29722341922432566</v>
      </c>
      <c r="K153" s="3">
        <f t="shared" si="24"/>
        <v>-0.1390279738148836</v>
      </c>
      <c r="L153" s="3">
        <f t="shared" si="25"/>
        <v>0.92382707304997536</v>
      </c>
      <c r="M153" s="3">
        <f t="shared" si="26"/>
        <v>-1.5764174217631286</v>
      </c>
      <c r="N153" s="3">
        <f t="shared" si="27"/>
        <v>0.90176998432814681</v>
      </c>
      <c r="O153" s="3">
        <f t="shared" si="28"/>
        <v>0.10029334507187604</v>
      </c>
      <c r="P153" s="3">
        <f t="shared" si="29"/>
        <v>0.52505234017482205</v>
      </c>
      <c r="Q153" s="3">
        <f t="shared" si="30"/>
        <v>-0.74455067086057314</v>
      </c>
      <c r="R153" s="3">
        <f t="shared" si="32"/>
        <v>-0.52505234017482205</v>
      </c>
    </row>
    <row r="154" spans="1:18" x14ac:dyDescent="0.3">
      <c r="A154" s="2">
        <v>150</v>
      </c>
      <c r="B154" s="2">
        <v>1</v>
      </c>
      <c r="C154" s="2">
        <v>30</v>
      </c>
      <c r="D154" s="2">
        <f t="shared" si="31"/>
        <v>900</v>
      </c>
      <c r="E154" s="2">
        <v>83.065899999999999</v>
      </c>
      <c r="F154" s="2">
        <v>174.73240000000001</v>
      </c>
      <c r="G154" s="2">
        <v>0.57394999999999996</v>
      </c>
      <c r="H154" s="2">
        <v>5</v>
      </c>
      <c r="I154" s="3">
        <f t="shared" si="22"/>
        <v>0.27055638996283926</v>
      </c>
      <c r="J154" s="3">
        <f t="shared" si="23"/>
        <v>0.16191463047313392</v>
      </c>
      <c r="K154" s="3">
        <f t="shared" si="24"/>
        <v>0.83613310547523234</v>
      </c>
      <c r="L154" s="3">
        <f t="shared" si="25"/>
        <v>-0.50749200677399864</v>
      </c>
      <c r="M154" s="3">
        <f t="shared" si="26"/>
        <v>0.29146236787920554</v>
      </c>
      <c r="N154" s="3">
        <f t="shared" si="27"/>
        <v>0.90176998432814681</v>
      </c>
      <c r="O154" s="3">
        <f t="shared" si="28"/>
        <v>1.1878810067772964E-2</v>
      </c>
      <c r="P154" s="3">
        <f t="shared" si="29"/>
        <v>0.50296966759716721</v>
      </c>
      <c r="Q154" s="3">
        <f t="shared" si="30"/>
        <v>-0.68722541368843526</v>
      </c>
      <c r="R154" s="3">
        <f t="shared" si="32"/>
        <v>0.49703033240283279</v>
      </c>
    </row>
    <row r="155" spans="1:18" x14ac:dyDescent="0.3">
      <c r="A155" s="2">
        <v>151</v>
      </c>
      <c r="B155" s="2">
        <v>0</v>
      </c>
      <c r="C155" s="2">
        <v>38</v>
      </c>
      <c r="D155" s="2">
        <f t="shared" si="31"/>
        <v>1444</v>
      </c>
      <c r="E155" s="2">
        <v>78.836100000000002</v>
      </c>
      <c r="F155" s="2">
        <v>186.59379999999999</v>
      </c>
      <c r="G155" s="2">
        <v>0.39289499999999999</v>
      </c>
      <c r="H155" s="2">
        <v>2</v>
      </c>
      <c r="I155" s="3">
        <f t="shared" si="22"/>
        <v>1.4941013982741542</v>
      </c>
      <c r="J155" s="3">
        <f t="shared" si="23"/>
        <v>1.6225643324346428</v>
      </c>
      <c r="K155" s="3">
        <f t="shared" si="24"/>
        <v>0.40856193409568775</v>
      </c>
      <c r="L155" s="3">
        <f t="shared" si="25"/>
        <v>0.69197162475756646</v>
      </c>
      <c r="M155" s="3">
        <f t="shared" si="26"/>
        <v>-0.34118923459179434</v>
      </c>
      <c r="N155" s="3">
        <f t="shared" si="27"/>
        <v>-0.86179582596158</v>
      </c>
      <c r="O155" s="3">
        <f t="shared" si="28"/>
        <v>5.0565230137608462E-2</v>
      </c>
      <c r="P155" s="3">
        <f t="shared" si="29"/>
        <v>0.51263861473687711</v>
      </c>
      <c r="Q155" s="3">
        <f t="shared" si="30"/>
        <v>-0.71874936689772562</v>
      </c>
      <c r="R155" s="3">
        <f t="shared" si="32"/>
        <v>-0.51263861473687711</v>
      </c>
    </row>
    <row r="156" spans="1:18" x14ac:dyDescent="0.3">
      <c r="A156" s="2">
        <v>152</v>
      </c>
      <c r="B156" s="2">
        <v>0</v>
      </c>
      <c r="C156" s="2">
        <v>23</v>
      </c>
      <c r="D156" s="2">
        <f t="shared" si="31"/>
        <v>529</v>
      </c>
      <c r="E156" s="2">
        <v>51.302799999999998</v>
      </c>
      <c r="F156" s="2">
        <v>176.1352</v>
      </c>
      <c r="G156" s="2">
        <v>2.8652E-2</v>
      </c>
      <c r="H156" s="2">
        <v>1</v>
      </c>
      <c r="I156" s="3">
        <f t="shared" si="22"/>
        <v>-0.80004549230956135</v>
      </c>
      <c r="J156" s="3">
        <f t="shared" si="23"/>
        <v>-0.83422698612193913</v>
      </c>
      <c r="K156" s="3">
        <f t="shared" si="24"/>
        <v>-2.3746536630825301</v>
      </c>
      <c r="L156" s="3">
        <f t="shared" si="25"/>
        <v>-0.36563627454066489</v>
      </c>
      <c r="M156" s="3">
        <f t="shared" si="26"/>
        <v>-1.6139456767714879</v>
      </c>
      <c r="N156" s="3">
        <f t="shared" si="27"/>
        <v>-1.4496510960581555</v>
      </c>
      <c r="O156" s="3">
        <f t="shared" si="28"/>
        <v>4.1027346974708008E-2</v>
      </c>
      <c r="P156" s="3">
        <f t="shared" si="29"/>
        <v>0.51025539825658395</v>
      </c>
      <c r="Q156" s="3">
        <f t="shared" si="30"/>
        <v>-0.71387124469211727</v>
      </c>
      <c r="R156" s="3">
        <f t="shared" si="32"/>
        <v>-0.51025539825658395</v>
      </c>
    </row>
    <row r="157" spans="1:18" x14ac:dyDescent="0.3">
      <c r="A157" s="2">
        <v>153</v>
      </c>
      <c r="B157" s="2">
        <v>0</v>
      </c>
      <c r="C157" s="2">
        <v>29</v>
      </c>
      <c r="D157" s="2">
        <f t="shared" si="31"/>
        <v>841</v>
      </c>
      <c r="E157" s="2">
        <v>71.519900000000007</v>
      </c>
      <c r="F157" s="2">
        <v>183.39510000000001</v>
      </c>
      <c r="G157" s="2">
        <v>0.58325199999999999</v>
      </c>
      <c r="H157" s="2">
        <v>1</v>
      </c>
      <c r="I157" s="3">
        <f t="shared" si="22"/>
        <v>0.1176132639239249</v>
      </c>
      <c r="J157" s="3">
        <f t="shared" si="23"/>
        <v>3.4985782383379449E-3</v>
      </c>
      <c r="K157" s="3">
        <f t="shared" si="24"/>
        <v>-0.33099932271244126</v>
      </c>
      <c r="L157" s="3">
        <f t="shared" si="25"/>
        <v>0.36850860031019989</v>
      </c>
      <c r="M157" s="3">
        <f t="shared" si="26"/>
        <v>0.32396589004752602</v>
      </c>
      <c r="N157" s="3">
        <f t="shared" si="27"/>
        <v>-1.4496510960581555</v>
      </c>
      <c r="O157" s="3">
        <f t="shared" si="28"/>
        <v>-1.7889817137809461E-3</v>
      </c>
      <c r="P157" s="3">
        <f t="shared" si="29"/>
        <v>0.4995527546908371</v>
      </c>
      <c r="Q157" s="3">
        <f t="shared" si="30"/>
        <v>-0.69225308975994804</v>
      </c>
      <c r="R157" s="3">
        <f t="shared" si="32"/>
        <v>-0.4995527546908371</v>
      </c>
    </row>
    <row r="158" spans="1:18" x14ac:dyDescent="0.3">
      <c r="A158" s="2">
        <v>154</v>
      </c>
      <c r="B158" s="2">
        <v>1</v>
      </c>
      <c r="C158" s="2">
        <v>29</v>
      </c>
      <c r="D158" s="2">
        <f t="shared" si="31"/>
        <v>841</v>
      </c>
      <c r="E158" s="2">
        <v>76.985600000000005</v>
      </c>
      <c r="F158" s="2">
        <v>173.54230000000001</v>
      </c>
      <c r="G158" s="2">
        <v>1.1303000000000001E-2</v>
      </c>
      <c r="H158" s="2">
        <v>6</v>
      </c>
      <c r="I158" s="3">
        <f t="shared" si="22"/>
        <v>0.1176132639239249</v>
      </c>
      <c r="J158" s="3">
        <f t="shared" si="23"/>
        <v>3.4985782383379449E-3</v>
      </c>
      <c r="K158" s="3">
        <f t="shared" si="24"/>
        <v>0.22150333732093566</v>
      </c>
      <c r="L158" s="3">
        <f t="shared" si="25"/>
        <v>-0.62783881810198017</v>
      </c>
      <c r="M158" s="3">
        <f t="shared" si="26"/>
        <v>-1.6745674361886231</v>
      </c>
      <c r="N158" s="3">
        <f t="shared" si="27"/>
        <v>1.4896252544247224</v>
      </c>
      <c r="O158" s="3">
        <f t="shared" si="28"/>
        <v>5.5290299553740097E-2</v>
      </c>
      <c r="P158" s="3">
        <f t="shared" si="29"/>
        <v>0.5138190546437823</v>
      </c>
      <c r="Q158" s="3">
        <f t="shared" si="30"/>
        <v>-0.66588410927236508</v>
      </c>
      <c r="R158" s="3">
        <f t="shared" si="32"/>
        <v>0.4861809453562177</v>
      </c>
    </row>
    <row r="159" spans="1:18" x14ac:dyDescent="0.3">
      <c r="A159" s="2">
        <v>155</v>
      </c>
      <c r="B159" s="2">
        <v>1</v>
      </c>
      <c r="C159" s="2">
        <v>37</v>
      </c>
      <c r="D159" s="2">
        <f t="shared" si="31"/>
        <v>1369</v>
      </c>
      <c r="E159" s="2">
        <v>60.656399999999998</v>
      </c>
      <c r="F159" s="2">
        <v>170.893</v>
      </c>
      <c r="G159" s="2">
        <v>0.78737199999999996</v>
      </c>
      <c r="H159" s="2">
        <v>1</v>
      </c>
      <c r="I159" s="3">
        <f t="shared" si="22"/>
        <v>1.34115827223524</v>
      </c>
      <c r="J159" s="3">
        <f t="shared" si="23"/>
        <v>1.4211879948480377</v>
      </c>
      <c r="K159" s="3">
        <f t="shared" si="24"/>
        <v>-1.4291409417681153</v>
      </c>
      <c r="L159" s="3">
        <f t="shared" si="25"/>
        <v>-0.89574471445625503</v>
      </c>
      <c r="M159" s="3">
        <f t="shared" si="26"/>
        <v>1.0372123902622701</v>
      </c>
      <c r="N159" s="3">
        <f t="shared" si="27"/>
        <v>-1.4496510960581555</v>
      </c>
      <c r="O159" s="3">
        <f t="shared" si="28"/>
        <v>-0.16296761304345936</v>
      </c>
      <c r="P159" s="3">
        <f t="shared" si="29"/>
        <v>0.45934802802913438</v>
      </c>
      <c r="Q159" s="3">
        <f t="shared" si="30"/>
        <v>-0.77794712523320064</v>
      </c>
      <c r="R159" s="3">
        <f t="shared" si="32"/>
        <v>0.54065197197086556</v>
      </c>
    </row>
    <row r="160" spans="1:18" x14ac:dyDescent="0.3">
      <c r="A160" s="2">
        <v>156</v>
      </c>
      <c r="B160" s="2">
        <v>1</v>
      </c>
      <c r="C160" s="2">
        <v>28</v>
      </c>
      <c r="D160" s="2">
        <f t="shared" si="31"/>
        <v>784</v>
      </c>
      <c r="E160" s="2">
        <v>80.810199999999995</v>
      </c>
      <c r="F160" s="2">
        <v>180.9186</v>
      </c>
      <c r="G160" s="2">
        <v>0.30643300000000001</v>
      </c>
      <c r="H160" s="2">
        <v>5</v>
      </c>
      <c r="I160" s="3">
        <f t="shared" si="22"/>
        <v>-3.5329862114989473E-2</v>
      </c>
      <c r="J160" s="3">
        <f t="shared" si="23"/>
        <v>-0.14954743832748191</v>
      </c>
      <c r="K160" s="3">
        <f t="shared" si="24"/>
        <v>0.60811469059016898</v>
      </c>
      <c r="L160" s="3">
        <f t="shared" si="25"/>
        <v>0.11807680613009078</v>
      </c>
      <c r="M160" s="3">
        <f t="shared" si="26"/>
        <v>-0.64330915866374805</v>
      </c>
      <c r="N160" s="3">
        <f t="shared" si="27"/>
        <v>0.90176998432814681</v>
      </c>
      <c r="O160" s="3">
        <f t="shared" si="28"/>
        <v>7.5554863323622656E-2</v>
      </c>
      <c r="P160" s="3">
        <f t="shared" si="29"/>
        <v>0.51887973537904308</v>
      </c>
      <c r="Q160" s="3">
        <f t="shared" si="30"/>
        <v>-0.6560831464081438</v>
      </c>
      <c r="R160" s="3">
        <f t="shared" si="32"/>
        <v>0.48112026462095692</v>
      </c>
    </row>
    <row r="161" spans="1:18" x14ac:dyDescent="0.3">
      <c r="A161" s="2">
        <v>157</v>
      </c>
      <c r="B161" s="2">
        <v>1</v>
      </c>
      <c r="C161" s="2">
        <v>24</v>
      </c>
      <c r="D161" s="2">
        <f t="shared" si="31"/>
        <v>576</v>
      </c>
      <c r="E161" s="2">
        <v>59.759799999999998</v>
      </c>
      <c r="F161" s="2">
        <v>161.148</v>
      </c>
      <c r="G161" s="2">
        <v>4.0258000000000002E-2</v>
      </c>
      <c r="H161" s="2">
        <v>4</v>
      </c>
      <c r="I161" s="3">
        <f t="shared" si="22"/>
        <v>-0.64710236627064699</v>
      </c>
      <c r="J161" s="3">
        <f t="shared" si="23"/>
        <v>-0.70803114790099997</v>
      </c>
      <c r="K161" s="3">
        <f t="shared" si="24"/>
        <v>-1.5197741424534668</v>
      </c>
      <c r="L161" s="3">
        <f t="shared" si="25"/>
        <v>-1.8811910436648756</v>
      </c>
      <c r="M161" s="3">
        <f t="shared" si="26"/>
        <v>-1.5733914004561229</v>
      </c>
      <c r="N161" s="3">
        <f t="shared" si="27"/>
        <v>0.31391471423157125</v>
      </c>
      <c r="O161" s="3">
        <f t="shared" si="28"/>
        <v>1.1739327026454388E-2</v>
      </c>
      <c r="P161" s="3">
        <f t="shared" si="29"/>
        <v>0.50293479805254104</v>
      </c>
      <c r="Q161" s="3">
        <f t="shared" si="30"/>
        <v>-0.68729474342268115</v>
      </c>
      <c r="R161" s="3">
        <f t="shared" si="32"/>
        <v>0.49706520194745896</v>
      </c>
    </row>
    <row r="162" spans="1:18" x14ac:dyDescent="0.3">
      <c r="A162" s="2">
        <v>158</v>
      </c>
      <c r="B162" s="2">
        <v>1</v>
      </c>
      <c r="C162" s="2">
        <v>18</v>
      </c>
      <c r="D162" s="2">
        <f t="shared" si="31"/>
        <v>324</v>
      </c>
      <c r="E162" s="2">
        <v>67.015600000000006</v>
      </c>
      <c r="F162" s="2">
        <v>177.03729999999999</v>
      </c>
      <c r="G162" s="2">
        <v>0.58835199999999999</v>
      </c>
      <c r="H162" s="2">
        <v>2</v>
      </c>
      <c r="I162" s="3">
        <f t="shared" si="22"/>
        <v>-1.5647611225041334</v>
      </c>
      <c r="J162" s="3">
        <f t="shared" si="23"/>
        <v>-1.3846556421919931</v>
      </c>
      <c r="K162" s="3">
        <f t="shared" si="24"/>
        <v>-0.78631844589672528</v>
      </c>
      <c r="L162" s="3">
        <f t="shared" si="25"/>
        <v>-0.27441296683629479</v>
      </c>
      <c r="M162" s="3">
        <f t="shared" si="26"/>
        <v>0.34178656980009897</v>
      </c>
      <c r="N162" s="3">
        <f t="shared" si="27"/>
        <v>-0.86179582596158</v>
      </c>
      <c r="O162" s="3">
        <f t="shared" si="28"/>
        <v>0.20728238886008729</v>
      </c>
      <c r="P162" s="3">
        <f t="shared" si="29"/>
        <v>0.55163584737074445</v>
      </c>
      <c r="Q162" s="3">
        <f t="shared" si="30"/>
        <v>-0.5948671471928475</v>
      </c>
      <c r="R162" s="3">
        <f t="shared" si="32"/>
        <v>0.44836415262925555</v>
      </c>
    </row>
    <row r="163" spans="1:18" x14ac:dyDescent="0.3">
      <c r="A163" s="2">
        <v>159</v>
      </c>
      <c r="B163" s="2">
        <v>1</v>
      </c>
      <c r="C163" s="2">
        <v>18</v>
      </c>
      <c r="D163" s="2">
        <f t="shared" si="31"/>
        <v>324</v>
      </c>
      <c r="E163" s="2">
        <v>88.4131</v>
      </c>
      <c r="F163" s="2">
        <v>163.93620000000001</v>
      </c>
      <c r="G163" s="2">
        <v>0.39768399999999998</v>
      </c>
      <c r="H163" s="2">
        <v>3</v>
      </c>
      <c r="I163" s="3">
        <f t="shared" si="22"/>
        <v>-1.5647611225041334</v>
      </c>
      <c r="J163" s="3">
        <f t="shared" si="23"/>
        <v>-1.3846556421919931</v>
      </c>
      <c r="K163" s="3">
        <f t="shared" si="24"/>
        <v>1.3766571415054709</v>
      </c>
      <c r="L163" s="3">
        <f t="shared" si="25"/>
        <v>-1.5992391242087964</v>
      </c>
      <c r="M163" s="3">
        <f t="shared" si="26"/>
        <v>-0.32445526687903514</v>
      </c>
      <c r="N163" s="3">
        <f t="shared" si="27"/>
        <v>-0.27394055586500432</v>
      </c>
      <c r="O163" s="3">
        <f t="shared" si="28"/>
        <v>0.33849536857752721</v>
      </c>
      <c r="P163" s="3">
        <f t="shared" si="29"/>
        <v>0.58382498373777081</v>
      </c>
      <c r="Q163" s="3">
        <f t="shared" si="30"/>
        <v>-0.53815402644907684</v>
      </c>
      <c r="R163" s="3">
        <f t="shared" si="32"/>
        <v>0.41617501626222919</v>
      </c>
    </row>
    <row r="164" spans="1:18" x14ac:dyDescent="0.3">
      <c r="A164" s="2">
        <v>160</v>
      </c>
      <c r="B164" s="2">
        <v>0</v>
      </c>
      <c r="C164" s="2">
        <v>37</v>
      </c>
      <c r="D164" s="2">
        <f t="shared" si="31"/>
        <v>1369</v>
      </c>
      <c r="E164" s="2">
        <v>66.162199999999999</v>
      </c>
      <c r="F164" s="2">
        <v>187.79230000000001</v>
      </c>
      <c r="G164" s="2">
        <v>0.9738</v>
      </c>
      <c r="H164" s="2">
        <v>4</v>
      </c>
      <c r="I164" s="3">
        <f t="shared" si="22"/>
        <v>1.34115827223524</v>
      </c>
      <c r="J164" s="3">
        <f t="shared" si="23"/>
        <v>1.4211879948480377</v>
      </c>
      <c r="K164" s="3">
        <f t="shared" si="24"/>
        <v>-0.87258475580624983</v>
      </c>
      <c r="L164" s="3">
        <f t="shared" si="25"/>
        <v>0.81316787160790571</v>
      </c>
      <c r="M164" s="3">
        <f t="shared" si="26"/>
        <v>1.6886386029902456</v>
      </c>
      <c r="N164" s="3">
        <f t="shared" si="27"/>
        <v>0.31391471423157125</v>
      </c>
      <c r="O164" s="3">
        <f t="shared" si="28"/>
        <v>-0.13914849988657432</v>
      </c>
      <c r="P164" s="3">
        <f t="shared" si="29"/>
        <v>0.46526889647080499</v>
      </c>
      <c r="Q164" s="3">
        <f t="shared" si="30"/>
        <v>-0.62599126866279231</v>
      </c>
      <c r="R164" s="3">
        <f t="shared" si="32"/>
        <v>-0.46526889647080499</v>
      </c>
    </row>
    <row r="165" spans="1:18" x14ac:dyDescent="0.3">
      <c r="A165" s="2">
        <v>161</v>
      </c>
      <c r="B165" s="2">
        <v>1</v>
      </c>
      <c r="C165" s="2">
        <v>30</v>
      </c>
      <c r="D165" s="2">
        <f t="shared" si="31"/>
        <v>900</v>
      </c>
      <c r="E165" s="2">
        <v>80.739699999999999</v>
      </c>
      <c r="F165" s="2">
        <v>190.50110000000001</v>
      </c>
      <c r="G165" s="2">
        <v>0.54419899999999999</v>
      </c>
      <c r="H165" s="2">
        <v>3</v>
      </c>
      <c r="I165" s="3">
        <f t="shared" si="22"/>
        <v>0.27055638996283926</v>
      </c>
      <c r="J165" s="3">
        <f t="shared" si="23"/>
        <v>0.16191463047313392</v>
      </c>
      <c r="K165" s="3">
        <f t="shared" si="24"/>
        <v>0.60098816744906158</v>
      </c>
      <c r="L165" s="3">
        <f t="shared" si="25"/>
        <v>1.0870906029121958</v>
      </c>
      <c r="M165" s="3">
        <f t="shared" si="26"/>
        <v>0.18750490840493142</v>
      </c>
      <c r="N165" s="3">
        <f t="shared" si="27"/>
        <v>-0.27394055586500432</v>
      </c>
      <c r="O165" s="3">
        <f t="shared" si="28"/>
        <v>5.4236014787168683E-2</v>
      </c>
      <c r="P165" s="3">
        <f t="shared" si="29"/>
        <v>0.51355568097221682</v>
      </c>
      <c r="Q165" s="3">
        <f t="shared" si="30"/>
        <v>-0.6663968212716086</v>
      </c>
      <c r="R165" s="3">
        <f t="shared" si="32"/>
        <v>0.48644431902778318</v>
      </c>
    </row>
    <row r="166" spans="1:18" x14ac:dyDescent="0.3">
      <c r="A166" s="2">
        <v>162</v>
      </c>
      <c r="B166" s="2">
        <v>1</v>
      </c>
      <c r="C166" s="2">
        <v>26</v>
      </c>
      <c r="D166" s="2">
        <f t="shared" si="31"/>
        <v>676</v>
      </c>
      <c r="E166" s="2">
        <v>57.464300000000001</v>
      </c>
      <c r="F166" s="2">
        <v>171.3605</v>
      </c>
      <c r="G166" s="2">
        <v>0.27523900000000001</v>
      </c>
      <c r="H166" s="2">
        <v>4</v>
      </c>
      <c r="I166" s="3">
        <f t="shared" si="22"/>
        <v>-0.34121611419281822</v>
      </c>
      <c r="J166" s="3">
        <f t="shared" si="23"/>
        <v>-0.43952936445219321</v>
      </c>
      <c r="K166" s="3">
        <f t="shared" si="24"/>
        <v>-1.75181575763663</v>
      </c>
      <c r="L166" s="3">
        <f t="shared" si="25"/>
        <v>-0.84846958270612349</v>
      </c>
      <c r="M166" s="3">
        <f t="shared" si="26"/>
        <v>-0.75230882223272089</v>
      </c>
      <c r="N166" s="3">
        <f t="shared" si="27"/>
        <v>0.31391471423157125</v>
      </c>
      <c r="O166" s="3">
        <f t="shared" si="28"/>
        <v>-5.5833728721235709E-2</v>
      </c>
      <c r="P166" s="3">
        <f t="shared" si="29"/>
        <v>0.48604519286378395</v>
      </c>
      <c r="Q166" s="3">
        <f t="shared" si="30"/>
        <v>-0.72145366997323823</v>
      </c>
      <c r="R166" s="3">
        <f t="shared" si="32"/>
        <v>0.51395480713621611</v>
      </c>
    </row>
    <row r="167" spans="1:18" x14ac:dyDescent="0.3">
      <c r="A167" s="2">
        <v>163</v>
      </c>
      <c r="B167" s="2">
        <v>0</v>
      </c>
      <c r="C167" s="2">
        <v>20</v>
      </c>
      <c r="D167" s="2">
        <f t="shared" si="31"/>
        <v>400</v>
      </c>
      <c r="E167" s="2">
        <v>95.813100000000006</v>
      </c>
      <c r="F167" s="2">
        <v>184.28309999999999</v>
      </c>
      <c r="G167" s="2">
        <v>0.70943900000000004</v>
      </c>
      <c r="H167" s="2">
        <v>1</v>
      </c>
      <c r="I167" s="3">
        <f t="shared" si="22"/>
        <v>-1.2588748704263044</v>
      </c>
      <c r="J167" s="3">
        <f t="shared" si="23"/>
        <v>-1.1805942867708998</v>
      </c>
      <c r="K167" s="3">
        <f t="shared" si="24"/>
        <v>2.1246893577352299</v>
      </c>
      <c r="L167" s="3">
        <f t="shared" si="25"/>
        <v>0.45830606981632938</v>
      </c>
      <c r="M167" s="3">
        <f t="shared" si="26"/>
        <v>0.76489493238829598</v>
      </c>
      <c r="N167" s="3">
        <f t="shared" si="27"/>
        <v>-1.4496510960581555</v>
      </c>
      <c r="O167" s="3">
        <f t="shared" si="28"/>
        <v>0.33841527461759802</v>
      </c>
      <c r="P167" s="3">
        <f t="shared" si="29"/>
        <v>0.58380552290759469</v>
      </c>
      <c r="Q167" s="3">
        <f t="shared" si="30"/>
        <v>-0.87660263495109669</v>
      </c>
      <c r="R167" s="3">
        <f t="shared" si="32"/>
        <v>-0.58380552290759469</v>
      </c>
    </row>
    <row r="168" spans="1:18" x14ac:dyDescent="0.3">
      <c r="A168" s="2">
        <v>164</v>
      </c>
      <c r="B168" s="2">
        <v>1</v>
      </c>
      <c r="C168" s="2">
        <v>24</v>
      </c>
      <c r="D168" s="2">
        <f t="shared" si="31"/>
        <v>576</v>
      </c>
      <c r="E168" s="2">
        <v>71.954499999999996</v>
      </c>
      <c r="F168" s="2">
        <v>188.9914</v>
      </c>
      <c r="G168" s="2">
        <v>0.27149200000000001</v>
      </c>
      <c r="H168" s="2">
        <v>5</v>
      </c>
      <c r="I168" s="3">
        <f t="shared" si="22"/>
        <v>-0.64710236627064699</v>
      </c>
      <c r="J168" s="3">
        <f t="shared" si="23"/>
        <v>-0.70803114790099997</v>
      </c>
      <c r="K168" s="3">
        <f t="shared" si="24"/>
        <v>-0.28706759282413791</v>
      </c>
      <c r="L168" s="3">
        <f t="shared" si="25"/>
        <v>0.93442479242412357</v>
      </c>
      <c r="M168" s="3">
        <f t="shared" si="26"/>
        <v>-0.76540178047446428</v>
      </c>
      <c r="N168" s="3">
        <f t="shared" si="27"/>
        <v>0.90176998432814681</v>
      </c>
      <c r="O168" s="3">
        <f t="shared" si="28"/>
        <v>0.11527857250717999</v>
      </c>
      <c r="P168" s="3">
        <f t="shared" si="29"/>
        <v>0.52878776977146202</v>
      </c>
      <c r="Q168" s="3">
        <f t="shared" si="30"/>
        <v>-0.63716811898091652</v>
      </c>
      <c r="R168" s="3">
        <f t="shared" si="32"/>
        <v>0.47121223022853798</v>
      </c>
    </row>
    <row r="169" spans="1:18" x14ac:dyDescent="0.3">
      <c r="A169" s="2">
        <v>165</v>
      </c>
      <c r="B169" s="2">
        <v>1</v>
      </c>
      <c r="C169" s="2">
        <v>23</v>
      </c>
      <c r="D169" s="2">
        <f t="shared" si="31"/>
        <v>529</v>
      </c>
      <c r="E169" s="2">
        <v>75.953199999999995</v>
      </c>
      <c r="F169" s="2">
        <v>189.0247</v>
      </c>
      <c r="G169" s="2">
        <v>0.90424300000000002</v>
      </c>
      <c r="H169" s="2">
        <v>3</v>
      </c>
      <c r="I169" s="3">
        <f t="shared" si="22"/>
        <v>-0.80004549230956135</v>
      </c>
      <c r="J169" s="3">
        <f t="shared" si="23"/>
        <v>-0.83422698612193913</v>
      </c>
      <c r="K169" s="3">
        <f t="shared" si="24"/>
        <v>0.1171427346134208</v>
      </c>
      <c r="L169" s="3">
        <f t="shared" si="25"/>
        <v>0.93779219753060328</v>
      </c>
      <c r="M169" s="3">
        <f t="shared" si="26"/>
        <v>1.4455889909216735</v>
      </c>
      <c r="N169" s="3">
        <f t="shared" si="27"/>
        <v>-0.27394055586500432</v>
      </c>
      <c r="O169" s="3">
        <f t="shared" si="28"/>
        <v>8.8171761158182191E-2</v>
      </c>
      <c r="P169" s="3">
        <f t="shared" si="29"/>
        <v>0.52202867075484949</v>
      </c>
      <c r="Q169" s="3">
        <f t="shared" si="30"/>
        <v>-0.65003276779009156</v>
      </c>
      <c r="R169" s="3">
        <f t="shared" si="32"/>
        <v>0.47797132924515051</v>
      </c>
    </row>
    <row r="170" spans="1:18" x14ac:dyDescent="0.3">
      <c r="A170" s="2">
        <v>166</v>
      </c>
      <c r="B170" s="2">
        <v>0</v>
      </c>
      <c r="C170" s="2">
        <v>25</v>
      </c>
      <c r="D170" s="2">
        <f t="shared" si="31"/>
        <v>625</v>
      </c>
      <c r="E170" s="2">
        <v>76.790400000000005</v>
      </c>
      <c r="F170" s="2">
        <v>182.14449999999999</v>
      </c>
      <c r="G170" s="2">
        <v>0.374722</v>
      </c>
      <c r="H170" s="2">
        <v>4</v>
      </c>
      <c r="I170" s="3">
        <f t="shared" si="22"/>
        <v>-0.49415924023173263</v>
      </c>
      <c r="J170" s="3">
        <f t="shared" si="23"/>
        <v>-0.57646527401108472</v>
      </c>
      <c r="K170" s="3">
        <f t="shared" si="24"/>
        <v>0.20177146048201014</v>
      </c>
      <c r="L170" s="3">
        <f t="shared" si="25"/>
        <v>0.24204383075572888</v>
      </c>
      <c r="M170" s="3">
        <f t="shared" si="26"/>
        <v>-0.40469025677679599</v>
      </c>
      <c r="N170" s="3">
        <f t="shared" si="27"/>
        <v>0.31391471423157125</v>
      </c>
      <c r="O170" s="3">
        <f t="shared" si="28"/>
        <v>0.10238156940663831</v>
      </c>
      <c r="P170" s="3">
        <f t="shared" si="29"/>
        <v>0.52557305821714195</v>
      </c>
      <c r="Q170" s="3">
        <f t="shared" si="30"/>
        <v>-0.74564764163197328</v>
      </c>
      <c r="R170" s="3">
        <f t="shared" si="32"/>
        <v>-0.52557305821714195</v>
      </c>
    </row>
    <row r="171" spans="1:18" x14ac:dyDescent="0.3">
      <c r="A171" s="2">
        <v>167</v>
      </c>
      <c r="B171" s="2">
        <v>0</v>
      </c>
      <c r="C171" s="2">
        <v>26</v>
      </c>
      <c r="D171" s="2">
        <f t="shared" si="31"/>
        <v>676</v>
      </c>
      <c r="E171" s="2">
        <v>81.075699999999998</v>
      </c>
      <c r="F171" s="2">
        <v>187.34299999999999</v>
      </c>
      <c r="G171" s="2">
        <v>0.54986900000000005</v>
      </c>
      <c r="H171" s="2">
        <v>5</v>
      </c>
      <c r="I171" s="3">
        <f t="shared" si="22"/>
        <v>-0.34121611419281822</v>
      </c>
      <c r="J171" s="3">
        <f t="shared" si="23"/>
        <v>-0.43952936445219321</v>
      </c>
      <c r="K171" s="3">
        <f t="shared" si="24"/>
        <v>0.63495287348327745</v>
      </c>
      <c r="L171" s="3">
        <f t="shared" si="25"/>
        <v>0.76773318348954189</v>
      </c>
      <c r="M171" s="3">
        <f t="shared" si="26"/>
        <v>0.20731731118867455</v>
      </c>
      <c r="N171" s="3">
        <f t="shared" si="27"/>
        <v>0.90176998432814681</v>
      </c>
      <c r="O171" s="3">
        <f t="shared" si="28"/>
        <v>8.9119320929717999E-2</v>
      </c>
      <c r="P171" s="3">
        <f t="shared" si="29"/>
        <v>0.52226509592995929</v>
      </c>
      <c r="Q171" s="3">
        <f t="shared" si="30"/>
        <v>-0.73869929433054515</v>
      </c>
      <c r="R171" s="3">
        <f t="shared" si="32"/>
        <v>-0.52226509592995929</v>
      </c>
    </row>
    <row r="172" spans="1:18" x14ac:dyDescent="0.3">
      <c r="A172" s="2">
        <v>168</v>
      </c>
      <c r="B172" s="2">
        <v>0</v>
      </c>
      <c r="C172" s="2">
        <v>22</v>
      </c>
      <c r="D172" s="2">
        <f t="shared" si="31"/>
        <v>484</v>
      </c>
      <c r="E172" s="2">
        <v>59.808199999999999</v>
      </c>
      <c r="F172" s="2">
        <v>173.5067</v>
      </c>
      <c r="G172" s="2">
        <v>5.0573E-2</v>
      </c>
      <c r="H172" s="2">
        <v>3</v>
      </c>
      <c r="I172" s="3">
        <f t="shared" si="22"/>
        <v>-0.9529886183484757</v>
      </c>
      <c r="J172" s="3">
        <f t="shared" si="23"/>
        <v>-0.9550527886739022</v>
      </c>
      <c r="K172" s="3">
        <f t="shared" si="24"/>
        <v>-1.5148816074175855</v>
      </c>
      <c r="L172" s="3">
        <f t="shared" si="25"/>
        <v>-0.63143880674434483</v>
      </c>
      <c r="M172" s="3">
        <f t="shared" si="26"/>
        <v>-1.5373482020938112</v>
      </c>
      <c r="N172" s="3">
        <f t="shared" si="27"/>
        <v>-0.27394055586500432</v>
      </c>
      <c r="O172" s="3">
        <f t="shared" si="28"/>
        <v>9.7596420080558993E-2</v>
      </c>
      <c r="P172" s="3">
        <f t="shared" si="29"/>
        <v>0.52437975653541025</v>
      </c>
      <c r="Q172" s="3">
        <f t="shared" si="30"/>
        <v>-0.74313555101626716</v>
      </c>
      <c r="R172" s="3">
        <f t="shared" si="32"/>
        <v>-0.52437975653541025</v>
      </c>
    </row>
    <row r="173" spans="1:18" x14ac:dyDescent="0.3">
      <c r="A173" s="2">
        <v>169</v>
      </c>
      <c r="B173" s="2">
        <v>1</v>
      </c>
      <c r="C173" s="2">
        <v>18</v>
      </c>
      <c r="D173" s="2">
        <f t="shared" si="31"/>
        <v>324</v>
      </c>
      <c r="E173" s="2">
        <v>74.946600000000004</v>
      </c>
      <c r="F173" s="2">
        <v>180.8312</v>
      </c>
      <c r="G173" s="2">
        <v>0.42612100000000003</v>
      </c>
      <c r="H173" s="2">
        <v>2</v>
      </c>
      <c r="I173" s="3">
        <f t="shared" si="22"/>
        <v>-1.5647611225041334</v>
      </c>
      <c r="J173" s="3">
        <f t="shared" si="23"/>
        <v>-1.3846556421919931</v>
      </c>
      <c r="K173" s="3">
        <f t="shared" si="24"/>
        <v>1.5390136119249364E-2</v>
      </c>
      <c r="L173" s="3">
        <f t="shared" si="25"/>
        <v>0.10923863176653657</v>
      </c>
      <c r="M173" s="3">
        <f t="shared" si="26"/>
        <v>-0.22508925312924721</v>
      </c>
      <c r="N173" s="3">
        <f t="shared" si="27"/>
        <v>-0.86179582596158</v>
      </c>
      <c r="O173" s="3">
        <f t="shared" si="28"/>
        <v>0.29282645858140532</v>
      </c>
      <c r="P173" s="3">
        <f t="shared" si="29"/>
        <v>0.57268795554709206</v>
      </c>
      <c r="Q173" s="3">
        <f t="shared" si="30"/>
        <v>-0.55741429080209692</v>
      </c>
      <c r="R173" s="3">
        <f t="shared" si="32"/>
        <v>0.42731204445290794</v>
      </c>
    </row>
    <row r="174" spans="1:18" x14ac:dyDescent="0.3">
      <c r="A174" s="2">
        <v>170</v>
      </c>
      <c r="B174" s="2">
        <v>0</v>
      </c>
      <c r="C174" s="2">
        <v>36</v>
      </c>
      <c r="D174" s="2">
        <f t="shared" si="31"/>
        <v>1296</v>
      </c>
      <c r="E174" s="2">
        <v>68.412300000000002</v>
      </c>
      <c r="F174" s="2">
        <v>175.32900000000001</v>
      </c>
      <c r="G174" s="2">
        <v>0.83236399999999999</v>
      </c>
      <c r="H174" s="2">
        <v>4</v>
      </c>
      <c r="I174" s="3">
        <f t="shared" si="22"/>
        <v>1.1882151461963255</v>
      </c>
      <c r="J174" s="3">
        <f t="shared" si="23"/>
        <v>1.2251816929304087</v>
      </c>
      <c r="K174" s="3">
        <f t="shared" si="24"/>
        <v>-0.64513241935509003</v>
      </c>
      <c r="L174" s="3">
        <f t="shared" si="25"/>
        <v>-0.44716186003147862</v>
      </c>
      <c r="M174" s="3">
        <f t="shared" si="26"/>
        <v>1.1944257281892827</v>
      </c>
      <c r="N174" s="3">
        <f t="shared" si="27"/>
        <v>0.31391471423157125</v>
      </c>
      <c r="O174" s="3">
        <f t="shared" si="28"/>
        <v>-0.13618858783582272</v>
      </c>
      <c r="P174" s="3">
        <f t="shared" si="29"/>
        <v>0.46600537926438451</v>
      </c>
      <c r="Q174" s="3">
        <f t="shared" si="30"/>
        <v>-0.62736951360149062</v>
      </c>
      <c r="R174" s="3">
        <f t="shared" si="32"/>
        <v>-0.46600537926438451</v>
      </c>
    </row>
    <row r="175" spans="1:18" x14ac:dyDescent="0.3">
      <c r="A175" s="2">
        <v>171</v>
      </c>
      <c r="B175" s="2">
        <v>1</v>
      </c>
      <c r="C175" s="2">
        <v>27</v>
      </c>
      <c r="D175" s="2">
        <f t="shared" si="31"/>
        <v>729</v>
      </c>
      <c r="E175" s="2">
        <v>58.104399999999998</v>
      </c>
      <c r="F175" s="2">
        <v>172.66210000000001</v>
      </c>
      <c r="G175" s="2">
        <v>0.80564899999999995</v>
      </c>
      <c r="H175" s="2">
        <v>2</v>
      </c>
      <c r="I175" s="3">
        <f t="shared" si="22"/>
        <v>-0.18827298815390386</v>
      </c>
      <c r="J175" s="3">
        <f t="shared" si="23"/>
        <v>-0.29722341922432566</v>
      </c>
      <c r="K175" s="3">
        <f t="shared" si="24"/>
        <v>-1.6871109709327563</v>
      </c>
      <c r="L175" s="3">
        <f t="shared" si="25"/>
        <v>-0.71684752605163948</v>
      </c>
      <c r="M175" s="3">
        <f t="shared" si="26"/>
        <v>1.1010768145441869</v>
      </c>
      <c r="N175" s="3">
        <f t="shared" si="27"/>
        <v>-0.86179582596158</v>
      </c>
      <c r="O175" s="3">
        <f t="shared" si="28"/>
        <v>-0.12842819753831636</v>
      </c>
      <c r="P175" s="3">
        <f t="shared" si="29"/>
        <v>0.46793700855795645</v>
      </c>
      <c r="Q175" s="3">
        <f t="shared" si="30"/>
        <v>-0.7594215892218763</v>
      </c>
      <c r="R175" s="3">
        <f t="shared" si="32"/>
        <v>0.53206299144204361</v>
      </c>
    </row>
    <row r="176" spans="1:18" x14ac:dyDescent="0.3">
      <c r="A176" s="2">
        <v>172</v>
      </c>
      <c r="B176" s="2">
        <v>1</v>
      </c>
      <c r="C176" s="2">
        <v>29</v>
      </c>
      <c r="D176" s="2">
        <f t="shared" si="31"/>
        <v>841</v>
      </c>
      <c r="E176" s="2">
        <v>84.871200000000002</v>
      </c>
      <c r="F176" s="2">
        <v>180.36060000000001</v>
      </c>
      <c r="G176" s="2">
        <v>0.22431899999999999</v>
      </c>
      <c r="H176" s="2">
        <v>1</v>
      </c>
      <c r="I176" s="3">
        <f t="shared" si="22"/>
        <v>0.1176132639239249</v>
      </c>
      <c r="J176" s="3">
        <f t="shared" si="23"/>
        <v>3.4985782383379449E-3</v>
      </c>
      <c r="K176" s="3">
        <f t="shared" si="24"/>
        <v>1.0186226406049059</v>
      </c>
      <c r="L176" s="3">
        <f t="shared" si="25"/>
        <v>6.1650017859346519E-2</v>
      </c>
      <c r="M176" s="3">
        <f t="shared" si="26"/>
        <v>-0.93023607968390054</v>
      </c>
      <c r="N176" s="3">
        <f t="shared" si="27"/>
        <v>-1.4496510960581555</v>
      </c>
      <c r="O176" s="3">
        <f t="shared" si="28"/>
        <v>0.13288237726365387</v>
      </c>
      <c r="P176" s="3">
        <f t="shared" si="29"/>
        <v>0.53317179713231588</v>
      </c>
      <c r="Q176" s="3">
        <f t="shared" si="30"/>
        <v>-0.62891158567680705</v>
      </c>
      <c r="R176" s="3">
        <f t="shared" si="32"/>
        <v>0.46682820286768412</v>
      </c>
    </row>
    <row r="177" spans="1:18" x14ac:dyDescent="0.3">
      <c r="A177" s="2">
        <v>173</v>
      </c>
      <c r="B177" s="2">
        <v>1</v>
      </c>
      <c r="C177" s="2">
        <v>32</v>
      </c>
      <c r="D177" s="2">
        <f t="shared" si="31"/>
        <v>1024</v>
      </c>
      <c r="E177" s="2">
        <v>71.478300000000004</v>
      </c>
      <c r="F177" s="2">
        <v>183.4753</v>
      </c>
      <c r="G177" s="2">
        <v>0.226079</v>
      </c>
      <c r="H177" s="2">
        <v>2</v>
      </c>
      <c r="I177" s="3">
        <f t="shared" si="22"/>
        <v>0.57644264204066809</v>
      </c>
      <c r="J177" s="3">
        <f t="shared" si="23"/>
        <v>0.49485684194965435</v>
      </c>
      <c r="K177" s="3">
        <f t="shared" si="24"/>
        <v>-0.3352044767928683</v>
      </c>
      <c r="L177" s="3">
        <f t="shared" si="25"/>
        <v>0.37661868708316265</v>
      </c>
      <c r="M177" s="3">
        <f t="shared" si="26"/>
        <v>-0.92408619804379699</v>
      </c>
      <c r="N177" s="3">
        <f t="shared" si="27"/>
        <v>-0.86179582596158</v>
      </c>
      <c r="O177" s="3">
        <f t="shared" si="28"/>
        <v>1.593868529735832E-2</v>
      </c>
      <c r="P177" s="3">
        <f t="shared" si="29"/>
        <v>0.50398458697042969</v>
      </c>
      <c r="Q177" s="3">
        <f t="shared" si="30"/>
        <v>-0.68520959278626681</v>
      </c>
      <c r="R177" s="3">
        <f t="shared" si="32"/>
        <v>0.49601541302957031</v>
      </c>
    </row>
    <row r="178" spans="1:18" x14ac:dyDescent="0.3">
      <c r="A178" s="2">
        <v>174</v>
      </c>
      <c r="B178" s="2">
        <v>1</v>
      </c>
      <c r="C178" s="2">
        <v>39</v>
      </c>
      <c r="D178" s="2">
        <f t="shared" si="31"/>
        <v>1521</v>
      </c>
      <c r="E178" s="2">
        <v>77.425200000000004</v>
      </c>
      <c r="F178" s="2">
        <v>191.63509999999999</v>
      </c>
      <c r="G178" s="2">
        <v>0.81730499999999995</v>
      </c>
      <c r="H178" s="2">
        <v>2</v>
      </c>
      <c r="I178" s="3">
        <f t="shared" si="22"/>
        <v>1.6470445243130687</v>
      </c>
      <c r="J178" s="3">
        <f t="shared" si="23"/>
        <v>1.829310705690224</v>
      </c>
      <c r="K178" s="3">
        <f t="shared" si="24"/>
        <v>0.26594049438236822</v>
      </c>
      <c r="L178" s="3">
        <f t="shared" si="25"/>
        <v>1.20176439843016</v>
      </c>
      <c r="M178" s="3">
        <f t="shared" si="26"/>
        <v>1.141805803406146</v>
      </c>
      <c r="N178" s="3">
        <f t="shared" si="27"/>
        <v>-0.86179582596158</v>
      </c>
      <c r="O178" s="3">
        <f t="shared" si="28"/>
        <v>-2.0021680205016632E-3</v>
      </c>
      <c r="P178" s="3">
        <f t="shared" si="29"/>
        <v>0.49949945816208385</v>
      </c>
      <c r="Q178" s="3">
        <f t="shared" si="30"/>
        <v>-0.69414876565471006</v>
      </c>
      <c r="R178" s="3">
        <f t="shared" si="32"/>
        <v>0.50050054183791615</v>
      </c>
    </row>
    <row r="179" spans="1:18" x14ac:dyDescent="0.3">
      <c r="A179" s="2">
        <v>175</v>
      </c>
      <c r="B179" s="2">
        <v>0</v>
      </c>
      <c r="C179" s="2">
        <v>26</v>
      </c>
      <c r="D179" s="2">
        <f t="shared" si="31"/>
        <v>676</v>
      </c>
      <c r="E179" s="2">
        <v>76.798500000000004</v>
      </c>
      <c r="F179" s="2">
        <v>182.6516</v>
      </c>
      <c r="G179" s="2">
        <v>0.93039799999999995</v>
      </c>
      <c r="H179" s="2">
        <v>6</v>
      </c>
      <c r="I179" s="3">
        <f t="shared" si="22"/>
        <v>-0.34121611419281822</v>
      </c>
      <c r="J179" s="3">
        <f t="shared" si="23"/>
        <v>-0.43952936445219321</v>
      </c>
      <c r="K179" s="3">
        <f t="shared" si="24"/>
        <v>0.20259025250247775</v>
      </c>
      <c r="L179" s="3">
        <f t="shared" si="25"/>
        <v>0.2933234442541075</v>
      </c>
      <c r="M179" s="3">
        <f t="shared" si="26"/>
        <v>1.5369811240449176</v>
      </c>
      <c r="N179" s="3">
        <f t="shared" si="27"/>
        <v>1.4896252544247224</v>
      </c>
      <c r="O179" s="3">
        <f t="shared" si="28"/>
        <v>-1.4930723155646464E-2</v>
      </c>
      <c r="P179" s="3">
        <f t="shared" si="29"/>
        <v>0.49626738855232938</v>
      </c>
      <c r="Q179" s="3">
        <f t="shared" si="30"/>
        <v>-0.68570968453503545</v>
      </c>
      <c r="R179" s="3">
        <f t="shared" si="32"/>
        <v>-0.49626738855232938</v>
      </c>
    </row>
    <row r="180" spans="1:18" x14ac:dyDescent="0.3">
      <c r="A180" s="2">
        <v>176</v>
      </c>
      <c r="B180" s="2">
        <v>0</v>
      </c>
      <c r="C180" s="2">
        <v>37</v>
      </c>
      <c r="D180" s="2">
        <f t="shared" si="31"/>
        <v>1369</v>
      </c>
      <c r="E180" s="2">
        <v>71.651499999999999</v>
      </c>
      <c r="F180" s="2">
        <v>186.41929999999999</v>
      </c>
      <c r="G180" s="2">
        <v>9.5361000000000001E-2</v>
      </c>
      <c r="H180" s="2">
        <v>4</v>
      </c>
      <c r="I180" s="3">
        <f t="shared" si="22"/>
        <v>1.34115827223524</v>
      </c>
      <c r="J180" s="3">
        <f t="shared" si="23"/>
        <v>1.4211879948480377</v>
      </c>
      <c r="K180" s="3">
        <f t="shared" si="24"/>
        <v>-0.31769647951570751</v>
      </c>
      <c r="L180" s="3">
        <f t="shared" si="25"/>
        <v>0.67432561301340033</v>
      </c>
      <c r="M180" s="3">
        <f t="shared" si="26"/>
        <v>-1.3808476913569017</v>
      </c>
      <c r="N180" s="3">
        <f t="shared" si="27"/>
        <v>0.31391471423157125</v>
      </c>
      <c r="O180" s="3">
        <f t="shared" si="28"/>
        <v>2.4465822995111085E-2</v>
      </c>
      <c r="P180" s="3">
        <f t="shared" si="29"/>
        <v>0.50611615066981885</v>
      </c>
      <c r="Q180" s="3">
        <f t="shared" si="30"/>
        <v>-0.70545491225331525</v>
      </c>
      <c r="R180" s="3">
        <f t="shared" si="32"/>
        <v>-0.50611615066981885</v>
      </c>
    </row>
    <row r="181" spans="1:18" x14ac:dyDescent="0.3">
      <c r="A181" s="2">
        <v>177</v>
      </c>
      <c r="B181" s="2">
        <v>1</v>
      </c>
      <c r="C181" s="2">
        <v>34</v>
      </c>
      <c r="D181" s="2">
        <f t="shared" si="31"/>
        <v>1156</v>
      </c>
      <c r="E181" s="2">
        <v>94.750299999999996</v>
      </c>
      <c r="F181" s="2">
        <v>186.53280000000001</v>
      </c>
      <c r="G181" s="2">
        <v>0.45005899999999999</v>
      </c>
      <c r="H181" s="2">
        <v>1</v>
      </c>
      <c r="I181" s="3">
        <f t="shared" si="22"/>
        <v>0.8823288941184968</v>
      </c>
      <c r="J181" s="3">
        <f t="shared" si="23"/>
        <v>0.84927919610207925</v>
      </c>
      <c r="K181" s="3">
        <f t="shared" si="24"/>
        <v>2.0172557578150956</v>
      </c>
      <c r="L181" s="3">
        <f t="shared" si="25"/>
        <v>0.68580310489284568</v>
      </c>
      <c r="M181" s="3">
        <f t="shared" si="26"/>
        <v>-0.14144387432197444</v>
      </c>
      <c r="N181" s="3">
        <f t="shared" si="27"/>
        <v>-1.4496510960581555</v>
      </c>
      <c r="O181" s="3">
        <f t="shared" si="28"/>
        <v>0.14487225633602846</v>
      </c>
      <c r="P181" s="3">
        <f t="shared" si="29"/>
        <v>0.53615485144567554</v>
      </c>
      <c r="Q181" s="3">
        <f t="shared" si="30"/>
        <v>-0.62333225768458056</v>
      </c>
      <c r="R181" s="3">
        <f t="shared" si="32"/>
        <v>0.46384514855432446</v>
      </c>
    </row>
    <row r="182" spans="1:18" x14ac:dyDescent="0.3">
      <c r="A182" s="2">
        <v>178</v>
      </c>
      <c r="B182" s="2">
        <v>0</v>
      </c>
      <c r="C182" s="2">
        <v>34</v>
      </c>
      <c r="D182" s="2">
        <f t="shared" si="31"/>
        <v>1156</v>
      </c>
      <c r="E182" s="2">
        <v>74.5274</v>
      </c>
      <c r="F182" s="2">
        <v>206.87530000000001</v>
      </c>
      <c r="G182" s="2">
        <v>0.33745399999999998</v>
      </c>
      <c r="H182" s="2">
        <v>2</v>
      </c>
      <c r="I182" s="3">
        <f t="shared" si="22"/>
        <v>0.8823288941184968</v>
      </c>
      <c r="J182" s="3">
        <f t="shared" si="23"/>
        <v>0.84927919610207925</v>
      </c>
      <c r="K182" s="3">
        <f t="shared" si="24"/>
        <v>-2.6984878075820555E-2</v>
      </c>
      <c r="L182" s="3">
        <f t="shared" si="25"/>
        <v>2.7429033565015022</v>
      </c>
      <c r="M182" s="3">
        <f t="shared" si="26"/>
        <v>-0.53491400050599014</v>
      </c>
      <c r="N182" s="3">
        <f t="shared" si="27"/>
        <v>-0.86179582596158</v>
      </c>
      <c r="O182" s="3">
        <f t="shared" si="28"/>
        <v>6.7059892966202128E-2</v>
      </c>
      <c r="P182" s="3">
        <f t="shared" si="29"/>
        <v>0.51675869335104119</v>
      </c>
      <c r="Q182" s="3">
        <f t="shared" si="30"/>
        <v>-0.72723915040065168</v>
      </c>
      <c r="R182" s="3">
        <f t="shared" si="32"/>
        <v>-0.51675869335104119</v>
      </c>
    </row>
    <row r="183" spans="1:18" x14ac:dyDescent="0.3">
      <c r="A183" s="2">
        <v>179</v>
      </c>
      <c r="B183" s="2">
        <v>1</v>
      </c>
      <c r="C183" s="2">
        <v>37</v>
      </c>
      <c r="D183" s="2">
        <f t="shared" si="31"/>
        <v>1369</v>
      </c>
      <c r="E183" s="2">
        <v>59.420499999999997</v>
      </c>
      <c r="F183" s="2">
        <v>161.8997</v>
      </c>
      <c r="G183" s="2">
        <v>0.87068800000000002</v>
      </c>
      <c r="H183" s="2">
        <v>5</v>
      </c>
      <c r="I183" s="3">
        <f t="shared" si="22"/>
        <v>1.34115827223524</v>
      </c>
      <c r="J183" s="3">
        <f t="shared" si="23"/>
        <v>1.4211879948480377</v>
      </c>
      <c r="K183" s="3">
        <f t="shared" si="24"/>
        <v>-1.5540724304219475</v>
      </c>
      <c r="L183" s="3">
        <f t="shared" si="25"/>
        <v>-1.8051766767417232</v>
      </c>
      <c r="M183" s="3">
        <f t="shared" si="26"/>
        <v>1.3283394009025389</v>
      </c>
      <c r="N183" s="3">
        <f t="shared" si="27"/>
        <v>0.90176998432814681</v>
      </c>
      <c r="O183" s="3">
        <f t="shared" si="28"/>
        <v>-0.23739984387799209</v>
      </c>
      <c r="P183" s="3">
        <f t="shared" si="29"/>
        <v>0.44092721747784769</v>
      </c>
      <c r="Q183" s="3">
        <f t="shared" si="30"/>
        <v>-0.81887545688861807</v>
      </c>
      <c r="R183" s="3">
        <f t="shared" si="32"/>
        <v>0.55907278252215231</v>
      </c>
    </row>
    <row r="184" spans="1:18" x14ac:dyDescent="0.3">
      <c r="A184" s="2">
        <v>180</v>
      </c>
      <c r="B184" s="2">
        <v>1</v>
      </c>
      <c r="C184" s="2">
        <v>29</v>
      </c>
      <c r="D184" s="2">
        <f t="shared" si="31"/>
        <v>841</v>
      </c>
      <c r="E184" s="2">
        <v>70.996200000000002</v>
      </c>
      <c r="F184" s="2">
        <v>173.1207</v>
      </c>
      <c r="G184" s="2">
        <v>8.3525000000000002E-2</v>
      </c>
      <c r="H184" s="2">
        <v>3</v>
      </c>
      <c r="I184" s="3">
        <f t="shared" si="22"/>
        <v>0.1176132639239249</v>
      </c>
      <c r="J184" s="3">
        <f t="shared" si="23"/>
        <v>3.4985782383379449E-3</v>
      </c>
      <c r="K184" s="3">
        <f t="shared" si="24"/>
        <v>-0.38393776482589104</v>
      </c>
      <c r="L184" s="3">
        <f t="shared" si="25"/>
        <v>-0.6704723914620998</v>
      </c>
      <c r="M184" s="3">
        <f t="shared" si="26"/>
        <v>-1.4222056453865983</v>
      </c>
      <c r="N184" s="3">
        <f t="shared" si="27"/>
        <v>-0.27394055586500432</v>
      </c>
      <c r="O184" s="3">
        <f t="shared" si="28"/>
        <v>2.8476758906758427E-2</v>
      </c>
      <c r="P184" s="3">
        <f t="shared" si="29"/>
        <v>0.50711870867114883</v>
      </c>
      <c r="Q184" s="3">
        <f t="shared" si="30"/>
        <v>-0.67901016340647713</v>
      </c>
      <c r="R184" s="3">
        <f t="shared" si="32"/>
        <v>0.49288129132885117</v>
      </c>
    </row>
    <row r="185" spans="1:18" x14ac:dyDescent="0.3">
      <c r="A185" s="2">
        <v>181</v>
      </c>
      <c r="B185" s="2">
        <v>1</v>
      </c>
      <c r="C185" s="2">
        <v>24</v>
      </c>
      <c r="D185" s="2">
        <f t="shared" si="31"/>
        <v>576</v>
      </c>
      <c r="E185" s="2">
        <v>79.997399999999999</v>
      </c>
      <c r="F185" s="2">
        <v>194.7406</v>
      </c>
      <c r="G185" s="2">
        <v>0.21112600000000001</v>
      </c>
      <c r="H185" s="2">
        <v>2</v>
      </c>
      <c r="I185" s="3">
        <f t="shared" si="22"/>
        <v>-0.64710236627064699</v>
      </c>
      <c r="J185" s="3">
        <f t="shared" si="23"/>
        <v>-0.70803114790099997</v>
      </c>
      <c r="K185" s="3">
        <f t="shared" si="24"/>
        <v>0.52595244932644669</v>
      </c>
      <c r="L185" s="3">
        <f t="shared" si="25"/>
        <v>1.5158027335104449</v>
      </c>
      <c r="M185" s="3">
        <f t="shared" si="26"/>
        <v>-0.97633573222815462</v>
      </c>
      <c r="N185" s="3">
        <f t="shared" si="27"/>
        <v>-0.86179582596158</v>
      </c>
      <c r="O185" s="3">
        <f t="shared" si="28"/>
        <v>0.2156116834072937</v>
      </c>
      <c r="P185" s="3">
        <f t="shared" si="29"/>
        <v>0.5536950653818975</v>
      </c>
      <c r="Q185" s="3">
        <f t="shared" si="30"/>
        <v>-0.5911411672718565</v>
      </c>
      <c r="R185" s="3">
        <f t="shared" si="32"/>
        <v>0.4463049346181025</v>
      </c>
    </row>
    <row r="186" spans="1:18" x14ac:dyDescent="0.3">
      <c r="A186" s="2">
        <v>182</v>
      </c>
      <c r="B186" s="2">
        <v>0</v>
      </c>
      <c r="C186" s="2">
        <v>19</v>
      </c>
      <c r="D186" s="2">
        <f t="shared" si="31"/>
        <v>361</v>
      </c>
      <c r="E186" s="2">
        <v>80.325999999999993</v>
      </c>
      <c r="F186" s="2">
        <v>176.47989999999999</v>
      </c>
      <c r="G186" s="2">
        <v>0.75246800000000003</v>
      </c>
      <c r="H186" s="2">
        <v>1</v>
      </c>
      <c r="I186" s="3">
        <f t="shared" si="22"/>
        <v>-1.4118179964652189</v>
      </c>
      <c r="J186" s="3">
        <f t="shared" si="23"/>
        <v>-1.2853099823159346</v>
      </c>
      <c r="K186" s="3">
        <f t="shared" si="24"/>
        <v>0.55916912314443246</v>
      </c>
      <c r="L186" s="3">
        <f t="shared" si="25"/>
        <v>-0.33077908114115739</v>
      </c>
      <c r="M186" s="3">
        <f t="shared" si="26"/>
        <v>0.91524905573603366</v>
      </c>
      <c r="N186" s="3">
        <f t="shared" si="27"/>
        <v>-1.4496510960581555</v>
      </c>
      <c r="O186" s="3">
        <f t="shared" si="28"/>
        <v>0.24349278343115976</v>
      </c>
      <c r="P186" s="3">
        <f t="shared" si="29"/>
        <v>0.56057421047815825</v>
      </c>
      <c r="Q186" s="3">
        <f t="shared" si="30"/>
        <v>-0.82228642816898612</v>
      </c>
      <c r="R186" s="3">
        <f t="shared" si="32"/>
        <v>-0.56057421047815825</v>
      </c>
    </row>
    <row r="187" spans="1:18" x14ac:dyDescent="0.3">
      <c r="A187" s="2">
        <v>183</v>
      </c>
      <c r="B187" s="2">
        <v>1</v>
      </c>
      <c r="C187" s="2">
        <v>20</v>
      </c>
      <c r="D187" s="2">
        <f t="shared" si="31"/>
        <v>400</v>
      </c>
      <c r="E187" s="2">
        <v>64.122200000000007</v>
      </c>
      <c r="F187" s="2">
        <v>188.858</v>
      </c>
      <c r="G187" s="2">
        <v>5.1293999999999999E-2</v>
      </c>
      <c r="H187" s="2">
        <v>2</v>
      </c>
      <c r="I187" s="3">
        <f t="shared" si="22"/>
        <v>-1.2588748704263044</v>
      </c>
      <c r="J187" s="3">
        <f t="shared" si="23"/>
        <v>-1.1805942867708998</v>
      </c>
      <c r="K187" s="3">
        <f t="shared" si="24"/>
        <v>-1.0787990424425609</v>
      </c>
      <c r="L187" s="3">
        <f t="shared" si="25"/>
        <v>0.92093494734291015</v>
      </c>
      <c r="M187" s="3">
        <f t="shared" si="26"/>
        <v>-1.5348288471719278</v>
      </c>
      <c r="N187" s="3">
        <f t="shared" si="27"/>
        <v>-0.86179582596158</v>
      </c>
      <c r="O187" s="3">
        <f t="shared" si="28"/>
        <v>0.22866317767532879</v>
      </c>
      <c r="P187" s="3">
        <f t="shared" si="29"/>
        <v>0.55691800501339073</v>
      </c>
      <c r="Q187" s="3">
        <f t="shared" si="30"/>
        <v>-0.58533725812553572</v>
      </c>
      <c r="R187" s="3">
        <f t="shared" si="32"/>
        <v>0.44308199498660927</v>
      </c>
    </row>
    <row r="188" spans="1:18" x14ac:dyDescent="0.3">
      <c r="A188" s="2">
        <v>184</v>
      </c>
      <c r="B188" s="2">
        <v>1</v>
      </c>
      <c r="C188" s="2">
        <v>34</v>
      </c>
      <c r="D188" s="2">
        <f t="shared" si="31"/>
        <v>1156</v>
      </c>
      <c r="E188" s="2">
        <v>84.294799999999995</v>
      </c>
      <c r="F188" s="2">
        <v>182.30009999999999</v>
      </c>
      <c r="G188" s="2">
        <v>0.492535</v>
      </c>
      <c r="H188" s="2">
        <v>3</v>
      </c>
      <c r="I188" s="3">
        <f t="shared" si="22"/>
        <v>0.8823288941184968</v>
      </c>
      <c r="J188" s="3">
        <f t="shared" si="23"/>
        <v>0.84927919610207925</v>
      </c>
      <c r="K188" s="3">
        <f t="shared" si="24"/>
        <v>0.96035699608668468</v>
      </c>
      <c r="L188" s="3">
        <f t="shared" si="25"/>
        <v>0.25777861257459539</v>
      </c>
      <c r="M188" s="3">
        <f t="shared" si="26"/>
        <v>6.9779282604353586E-3</v>
      </c>
      <c r="N188" s="3">
        <f t="shared" si="27"/>
        <v>-0.27394055586500432</v>
      </c>
      <c r="O188" s="3">
        <f t="shared" si="28"/>
        <v>4.2959419968065647E-2</v>
      </c>
      <c r="P188" s="3">
        <f t="shared" si="29"/>
        <v>0.51073820358605704</v>
      </c>
      <c r="Q188" s="3">
        <f t="shared" si="30"/>
        <v>-0.67189814180946006</v>
      </c>
      <c r="R188" s="3">
        <f t="shared" si="32"/>
        <v>0.48926179641394296</v>
      </c>
    </row>
    <row r="189" spans="1:18" x14ac:dyDescent="0.3">
      <c r="A189" s="2">
        <v>185</v>
      </c>
      <c r="B189" s="2">
        <v>0</v>
      </c>
      <c r="C189" s="2">
        <v>22</v>
      </c>
      <c r="D189" s="2">
        <f t="shared" si="31"/>
        <v>484</v>
      </c>
      <c r="E189" s="2">
        <v>57.371299999999998</v>
      </c>
      <c r="F189" s="2">
        <v>201.05199999999999</v>
      </c>
      <c r="G189" s="2">
        <v>0.44210700000000003</v>
      </c>
      <c r="H189" s="2">
        <v>1</v>
      </c>
      <c r="I189" s="3">
        <f t="shared" si="22"/>
        <v>-0.9529886183484757</v>
      </c>
      <c r="J189" s="3">
        <f t="shared" si="23"/>
        <v>-0.9550527886739022</v>
      </c>
      <c r="K189" s="3">
        <f t="shared" si="24"/>
        <v>-1.7612167030568151</v>
      </c>
      <c r="L189" s="3">
        <f t="shared" si="25"/>
        <v>2.154032180628688</v>
      </c>
      <c r="M189" s="3">
        <f t="shared" si="26"/>
        <v>-0.16923015773226063</v>
      </c>
      <c r="N189" s="3">
        <f t="shared" si="27"/>
        <v>-1.4496510960581555</v>
      </c>
      <c r="O189" s="3">
        <f t="shared" si="28"/>
        <v>0.10425909735270354</v>
      </c>
      <c r="P189" s="3">
        <f t="shared" si="29"/>
        <v>0.52604118972103342</v>
      </c>
      <c r="Q189" s="3">
        <f t="shared" si="30"/>
        <v>-0.74663485920856332</v>
      </c>
      <c r="R189" s="3">
        <f t="shared" si="32"/>
        <v>-0.52604118972103342</v>
      </c>
    </row>
    <row r="190" spans="1:18" x14ac:dyDescent="0.3">
      <c r="A190" s="2">
        <v>186</v>
      </c>
      <c r="B190" s="2">
        <v>0</v>
      </c>
      <c r="C190" s="2">
        <v>34</v>
      </c>
      <c r="D190" s="2">
        <f t="shared" si="31"/>
        <v>1156</v>
      </c>
      <c r="E190" s="2">
        <v>86.441400000000002</v>
      </c>
      <c r="F190" s="2">
        <v>168.86949999999999</v>
      </c>
      <c r="G190" s="2">
        <v>0.334401</v>
      </c>
      <c r="H190" s="2">
        <v>4</v>
      </c>
      <c r="I190" s="3">
        <f t="shared" si="22"/>
        <v>0.8823288941184968</v>
      </c>
      <c r="J190" s="3">
        <f t="shared" si="23"/>
        <v>0.84927919610207925</v>
      </c>
      <c r="K190" s="3">
        <f t="shared" si="24"/>
        <v>1.1773469900540907</v>
      </c>
      <c r="L190" s="3">
        <f t="shared" si="25"/>
        <v>-1.1003676643950602</v>
      </c>
      <c r="M190" s="3">
        <f t="shared" si="26"/>
        <v>-0.54558194860101072</v>
      </c>
      <c r="N190" s="3">
        <f t="shared" si="27"/>
        <v>0.31391471423157125</v>
      </c>
      <c r="O190" s="3">
        <f t="shared" si="28"/>
        <v>4.0991925090592955E-2</v>
      </c>
      <c r="P190" s="3">
        <f t="shared" si="29"/>
        <v>0.51024654650777312</v>
      </c>
      <c r="Q190" s="3">
        <f t="shared" si="30"/>
        <v>-0.71385317064130371</v>
      </c>
      <c r="R190" s="3">
        <f t="shared" si="32"/>
        <v>-0.51024654650777312</v>
      </c>
    </row>
    <row r="191" spans="1:18" x14ac:dyDescent="0.3">
      <c r="A191" s="2">
        <v>187</v>
      </c>
      <c r="B191" s="2">
        <v>0</v>
      </c>
      <c r="C191" s="2">
        <v>34</v>
      </c>
      <c r="D191" s="2">
        <f t="shared" si="31"/>
        <v>1156</v>
      </c>
      <c r="E191" s="2">
        <v>61.8065</v>
      </c>
      <c r="F191" s="2">
        <v>192.21799999999999</v>
      </c>
      <c r="G191" s="2">
        <v>0.39457199999999998</v>
      </c>
      <c r="H191" s="2">
        <v>1</v>
      </c>
      <c r="I191" s="3">
        <f t="shared" si="22"/>
        <v>0.8823288941184968</v>
      </c>
      <c r="J191" s="3">
        <f t="shared" si="23"/>
        <v>0.84927919610207925</v>
      </c>
      <c r="K191" s="3">
        <f t="shared" si="24"/>
        <v>-1.312882583405163</v>
      </c>
      <c r="L191" s="3">
        <f t="shared" si="25"/>
        <v>1.2607091562850292</v>
      </c>
      <c r="M191" s="3">
        <f t="shared" si="26"/>
        <v>-0.33532937577903654</v>
      </c>
      <c r="N191" s="3">
        <f t="shared" si="27"/>
        <v>-1.4496510960581555</v>
      </c>
      <c r="O191" s="3">
        <f t="shared" si="28"/>
        <v>-5.1882188276417343E-2</v>
      </c>
      <c r="P191" s="3">
        <f t="shared" si="29"/>
        <v>0.48703236161617613</v>
      </c>
      <c r="Q191" s="3">
        <f t="shared" si="30"/>
        <v>-0.66754251887365634</v>
      </c>
      <c r="R191" s="3">
        <f t="shared" si="32"/>
        <v>-0.48703236161617613</v>
      </c>
    </row>
    <row r="192" spans="1:18" x14ac:dyDescent="0.3">
      <c r="A192" s="2">
        <v>188</v>
      </c>
      <c r="B192" s="2">
        <v>0</v>
      </c>
      <c r="C192" s="2">
        <v>34</v>
      </c>
      <c r="D192" s="2">
        <f t="shared" si="31"/>
        <v>1156</v>
      </c>
      <c r="E192" s="2">
        <v>72.737499999999997</v>
      </c>
      <c r="F192" s="2">
        <v>197.4958</v>
      </c>
      <c r="G192" s="2">
        <v>0.529941</v>
      </c>
      <c r="H192" s="2">
        <v>4</v>
      </c>
      <c r="I192" s="3">
        <f t="shared" si="22"/>
        <v>0.8823288941184968</v>
      </c>
      <c r="J192" s="3">
        <f t="shared" si="23"/>
        <v>0.84927919610207925</v>
      </c>
      <c r="K192" s="3">
        <f t="shared" si="24"/>
        <v>-0.2079176975122593</v>
      </c>
      <c r="L192" s="3">
        <f t="shared" si="25"/>
        <v>1.794417584842984</v>
      </c>
      <c r="M192" s="3">
        <f t="shared" si="26"/>
        <v>0.13768387861822842</v>
      </c>
      <c r="N192" s="3">
        <f t="shared" si="27"/>
        <v>0.31391471423157125</v>
      </c>
      <c r="O192" s="3">
        <f t="shared" si="28"/>
        <v>-1.1766840228328707E-2</v>
      </c>
      <c r="P192" s="3">
        <f t="shared" si="29"/>
        <v>0.49705832388451848</v>
      </c>
      <c r="Q192" s="3">
        <f t="shared" si="30"/>
        <v>-0.68728106766205421</v>
      </c>
      <c r="R192" s="3">
        <f t="shared" si="32"/>
        <v>-0.49705832388451848</v>
      </c>
    </row>
    <row r="193" spans="1:18" x14ac:dyDescent="0.3">
      <c r="A193" s="2">
        <v>189</v>
      </c>
      <c r="B193" s="2">
        <v>1</v>
      </c>
      <c r="C193" s="2">
        <v>19</v>
      </c>
      <c r="D193" s="2">
        <f t="shared" si="31"/>
        <v>361</v>
      </c>
      <c r="E193" s="2">
        <v>85.645700000000005</v>
      </c>
      <c r="F193" s="2">
        <v>169.85579999999999</v>
      </c>
      <c r="G193" s="2">
        <v>0.16136700000000001</v>
      </c>
      <c r="H193" s="2">
        <v>1</v>
      </c>
      <c r="I193" s="3">
        <f t="shared" si="22"/>
        <v>-1.4118179964652189</v>
      </c>
      <c r="J193" s="3">
        <f t="shared" si="23"/>
        <v>-1.2853099823159346</v>
      </c>
      <c r="K193" s="3">
        <f t="shared" si="24"/>
        <v>1.0969133097224668</v>
      </c>
      <c r="L193" s="3">
        <f t="shared" si="25"/>
        <v>-1.0006297768118417</v>
      </c>
      <c r="M193" s="3">
        <f t="shared" si="26"/>
        <v>-1.1502061643474248</v>
      </c>
      <c r="N193" s="3">
        <f t="shared" si="27"/>
        <v>-1.4496510960581555</v>
      </c>
      <c r="O193" s="3">
        <f t="shared" si="28"/>
        <v>0.35100338758134125</v>
      </c>
      <c r="P193" s="3">
        <f t="shared" si="29"/>
        <v>0.58686087662634301</v>
      </c>
      <c r="Q193" s="3">
        <f t="shared" si="30"/>
        <v>-0.53296749469560878</v>
      </c>
      <c r="R193" s="3">
        <f t="shared" si="32"/>
        <v>0.41313912337365699</v>
      </c>
    </row>
    <row r="194" spans="1:18" x14ac:dyDescent="0.3">
      <c r="A194" s="2">
        <v>190</v>
      </c>
      <c r="B194" s="2">
        <v>0</v>
      </c>
      <c r="C194" s="2">
        <v>19</v>
      </c>
      <c r="D194" s="2">
        <f t="shared" si="31"/>
        <v>361</v>
      </c>
      <c r="E194" s="2">
        <v>76.196100000000001</v>
      </c>
      <c r="F194" s="2">
        <v>187.8287</v>
      </c>
      <c r="G194" s="2">
        <v>0.57199599999999995</v>
      </c>
      <c r="H194" s="2">
        <v>3</v>
      </c>
      <c r="I194" s="3">
        <f t="shared" si="22"/>
        <v>-1.4118179964652189</v>
      </c>
      <c r="J194" s="3">
        <f t="shared" si="23"/>
        <v>-1.2853099823159346</v>
      </c>
      <c r="K194" s="3">
        <f t="shared" si="24"/>
        <v>0.14169638668399009</v>
      </c>
      <c r="L194" s="3">
        <f t="shared" si="25"/>
        <v>0.81684875887144393</v>
      </c>
      <c r="M194" s="3">
        <f t="shared" si="26"/>
        <v>0.28463460155831777</v>
      </c>
      <c r="N194" s="3">
        <f t="shared" si="27"/>
        <v>-0.27394055586500432</v>
      </c>
      <c r="O194" s="3">
        <f t="shared" si="28"/>
        <v>0.25313065159684489</v>
      </c>
      <c r="P194" s="3">
        <f t="shared" si="29"/>
        <v>0.5629469103532434</v>
      </c>
      <c r="Q194" s="3">
        <f t="shared" si="30"/>
        <v>-0.82770060465959661</v>
      </c>
      <c r="R194" s="3">
        <f t="shared" si="32"/>
        <v>-0.5629469103532434</v>
      </c>
    </row>
    <row r="195" spans="1:18" x14ac:dyDescent="0.3">
      <c r="A195" s="2">
        <v>191</v>
      </c>
      <c r="B195" s="2">
        <v>1</v>
      </c>
      <c r="C195" s="2">
        <v>39</v>
      </c>
      <c r="D195" s="2">
        <f t="shared" si="31"/>
        <v>1521</v>
      </c>
      <c r="E195" s="2">
        <v>83.167000000000002</v>
      </c>
      <c r="F195" s="2">
        <v>170.345</v>
      </c>
      <c r="G195" s="2">
        <v>0.80543200000000004</v>
      </c>
      <c r="H195" s="2">
        <v>3</v>
      </c>
      <c r="I195" s="3">
        <f t="shared" si="22"/>
        <v>1.6470445243130687</v>
      </c>
      <c r="J195" s="3">
        <f t="shared" si="23"/>
        <v>1.829310705690224</v>
      </c>
      <c r="K195" s="3">
        <f t="shared" si="24"/>
        <v>0.84635284291588508</v>
      </c>
      <c r="L195" s="3">
        <f t="shared" si="25"/>
        <v>-0.95116026996229153</v>
      </c>
      <c r="M195" s="3">
        <f t="shared" si="26"/>
        <v>1.10031856209197</v>
      </c>
      <c r="N195" s="3">
        <f t="shared" si="27"/>
        <v>-0.27394055586500432</v>
      </c>
      <c r="O195" s="3">
        <f t="shared" si="28"/>
        <v>-2.0286695055352522E-2</v>
      </c>
      <c r="P195" s="3">
        <f t="shared" si="29"/>
        <v>0.49492850016628026</v>
      </c>
      <c r="Q195" s="3">
        <f t="shared" si="30"/>
        <v>-0.70334197095502637</v>
      </c>
      <c r="R195" s="3">
        <f t="shared" si="32"/>
        <v>0.50507149983371979</v>
      </c>
    </row>
    <row r="196" spans="1:18" x14ac:dyDescent="0.3">
      <c r="A196" s="2">
        <v>192</v>
      </c>
      <c r="B196" s="2">
        <v>0</v>
      </c>
      <c r="C196" s="2">
        <v>22</v>
      </c>
      <c r="D196" s="2">
        <f t="shared" si="31"/>
        <v>484</v>
      </c>
      <c r="E196" s="2">
        <v>81.186599999999999</v>
      </c>
      <c r="F196" s="2">
        <v>180.30160000000001</v>
      </c>
      <c r="G196" s="2">
        <v>0.76016099999999998</v>
      </c>
      <c r="H196" s="2">
        <v>1</v>
      </c>
      <c r="I196" s="3">
        <f t="shared" si="22"/>
        <v>-0.9529886183484757</v>
      </c>
      <c r="J196" s="3">
        <f t="shared" si="23"/>
        <v>-0.9550527886739022</v>
      </c>
      <c r="K196" s="3">
        <f t="shared" si="24"/>
        <v>0.64616324818326132</v>
      </c>
      <c r="L196" s="3">
        <f t="shared" si="25"/>
        <v>5.5683744547565486E-2</v>
      </c>
      <c r="M196" s="3">
        <f t="shared" si="26"/>
        <v>0.94213032815496367</v>
      </c>
      <c r="N196" s="3">
        <f t="shared" si="27"/>
        <v>-1.4496510960581555</v>
      </c>
      <c r="O196" s="3">
        <f t="shared" si="28"/>
        <v>0.16621432229865735</v>
      </c>
      <c r="P196" s="3">
        <f t="shared" si="29"/>
        <v>0.54145817671347951</v>
      </c>
      <c r="Q196" s="3">
        <f t="shared" si="30"/>
        <v>-0.77970377380878919</v>
      </c>
      <c r="R196" s="3">
        <f t="shared" si="32"/>
        <v>-0.54145817671347951</v>
      </c>
    </row>
    <row r="197" spans="1:18" x14ac:dyDescent="0.3">
      <c r="A197" s="2">
        <v>193</v>
      </c>
      <c r="B197" s="2">
        <v>0</v>
      </c>
      <c r="C197" s="2">
        <v>18</v>
      </c>
      <c r="D197" s="2">
        <f t="shared" si="31"/>
        <v>324</v>
      </c>
      <c r="E197" s="2">
        <v>87.862700000000004</v>
      </c>
      <c r="F197" s="2">
        <v>177.4341</v>
      </c>
      <c r="G197" s="2">
        <v>0.15390000000000001</v>
      </c>
      <c r="H197" s="2">
        <v>2</v>
      </c>
      <c r="I197" s="3">
        <f t="shared" ref="I197:I260" si="33">(C197-$V$3)/$W$3</f>
        <v>-1.5647611225041334</v>
      </c>
      <c r="J197" s="3">
        <f t="shared" ref="J197:J260" si="34" xml:space="preserve"> (D197- $V$8)/$W$8</f>
        <v>-1.3846556421919931</v>
      </c>
      <c r="K197" s="3">
        <f t="shared" ref="K197:K260" si="35">(E197-$V$4)/$W$4</f>
        <v>1.3210197182875174</v>
      </c>
      <c r="L197" s="3">
        <f t="shared" ref="L197:L260" si="36">(F197-$V$5)/$W$5</f>
        <v>-0.23428725073265258</v>
      </c>
      <c r="M197" s="3">
        <f t="shared" ref="M197:M260" si="37">(G197-$V$6)/$W$6</f>
        <v>-1.1762977360557509</v>
      </c>
      <c r="N197" s="3">
        <f t="shared" ref="N197:N260" si="38">(H197-$V$7)/$W$7</f>
        <v>-0.86179582596158</v>
      </c>
      <c r="O197" s="3">
        <f t="shared" ref="O197:O260" si="39">$V$11+$V$12*I197+$V$17*J197+$V$13*K197+$V$14*L197+$V$15*M197+$V$16*N197</f>
        <v>0.41088646675754587</v>
      </c>
      <c r="P197" s="3">
        <f t="shared" ref="P197:P260" si="40">1/(1+EXP(-O197))</f>
        <v>0.60130041788761424</v>
      </c>
      <c r="Q197" s="3">
        <f t="shared" ref="Q197:Q260" si="41">B197*LN(P197)+(1-B197)*LN(1-P197)</f>
        <v>-0.91954707272082026</v>
      </c>
      <c r="R197" s="3">
        <f t="shared" si="32"/>
        <v>-0.60130041788761424</v>
      </c>
    </row>
    <row r="198" spans="1:18" x14ac:dyDescent="0.3">
      <c r="A198" s="2">
        <v>194</v>
      </c>
      <c r="B198" s="2">
        <v>0</v>
      </c>
      <c r="C198" s="2">
        <v>18</v>
      </c>
      <c r="D198" s="2">
        <f t="shared" ref="D198:D261" si="42">C198^2</f>
        <v>324</v>
      </c>
      <c r="E198" s="2">
        <v>85.622100000000003</v>
      </c>
      <c r="F198" s="2">
        <v>155.9725</v>
      </c>
      <c r="G198" s="2">
        <v>0.14924899999999999</v>
      </c>
      <c r="H198" s="2">
        <v>3</v>
      </c>
      <c r="I198" s="3">
        <f t="shared" si="33"/>
        <v>-1.5647611225041334</v>
      </c>
      <c r="J198" s="3">
        <f t="shared" si="34"/>
        <v>-1.3846556421919931</v>
      </c>
      <c r="K198" s="3">
        <f t="shared" si="35"/>
        <v>1.0945276934653014</v>
      </c>
      <c r="L198" s="3">
        <f t="shared" si="36"/>
        <v>-2.4045545610398591</v>
      </c>
      <c r="M198" s="3">
        <f t="shared" si="37"/>
        <v>-1.1925494971399109</v>
      </c>
      <c r="N198" s="3">
        <f t="shared" si="38"/>
        <v>-0.27394055586500432</v>
      </c>
      <c r="O198" s="3">
        <f t="shared" si="39"/>
        <v>0.33822770021857462</v>
      </c>
      <c r="P198" s="3">
        <f t="shared" si="40"/>
        <v>0.58375994599510839</v>
      </c>
      <c r="Q198" s="3">
        <f t="shared" si="41"/>
        <v>-0.87649313225549907</v>
      </c>
      <c r="R198" s="3">
        <f t="shared" ref="R198:R261" si="43">B198-P198</f>
        <v>-0.58375994599510839</v>
      </c>
    </row>
    <row r="199" spans="1:18" x14ac:dyDescent="0.3">
      <c r="A199" s="2">
        <v>195</v>
      </c>
      <c r="B199" s="2">
        <v>0</v>
      </c>
      <c r="C199" s="2">
        <v>36</v>
      </c>
      <c r="D199" s="2">
        <f t="shared" si="42"/>
        <v>1296</v>
      </c>
      <c r="E199" s="2">
        <v>70.462599999999995</v>
      </c>
      <c r="F199" s="2">
        <v>184.2423</v>
      </c>
      <c r="G199" s="2">
        <v>0.26817400000000002</v>
      </c>
      <c r="H199" s="2">
        <v>4</v>
      </c>
      <c r="I199" s="3">
        <f t="shared" si="33"/>
        <v>1.1882151461963255</v>
      </c>
      <c r="J199" s="3">
        <f t="shared" si="34"/>
        <v>1.2251816929304087</v>
      </c>
      <c r="K199" s="3">
        <f t="shared" si="35"/>
        <v>-0.4378769527421349</v>
      </c>
      <c r="L199" s="3">
        <f t="shared" si="36"/>
        <v>0.45418024013631891</v>
      </c>
      <c r="M199" s="3">
        <f t="shared" si="37"/>
        <v>-0.77699570506643223</v>
      </c>
      <c r="N199" s="3">
        <f t="shared" si="38"/>
        <v>0.31391471423157125</v>
      </c>
      <c r="O199" s="3">
        <f t="shared" si="39"/>
        <v>-1.7923056032381444E-2</v>
      </c>
      <c r="P199" s="3">
        <f t="shared" si="40"/>
        <v>0.49551935593658725</v>
      </c>
      <c r="Q199" s="3">
        <f t="shared" si="41"/>
        <v>-0.68422580649849762</v>
      </c>
      <c r="R199" s="3">
        <f t="shared" si="43"/>
        <v>-0.49551935593658725</v>
      </c>
    </row>
    <row r="200" spans="1:18" x14ac:dyDescent="0.3">
      <c r="A200" s="2">
        <v>196</v>
      </c>
      <c r="B200" s="2">
        <v>0</v>
      </c>
      <c r="C200" s="2">
        <v>19</v>
      </c>
      <c r="D200" s="2">
        <f t="shared" si="42"/>
        <v>361</v>
      </c>
      <c r="E200" s="2">
        <v>81.329400000000007</v>
      </c>
      <c r="F200" s="2">
        <v>181.43340000000001</v>
      </c>
      <c r="G200" s="2">
        <v>0.36107499999999998</v>
      </c>
      <c r="H200" s="2">
        <v>4</v>
      </c>
      <c r="I200" s="3">
        <f t="shared" si="33"/>
        <v>-1.4118179964652189</v>
      </c>
      <c r="J200" s="3">
        <f t="shared" si="34"/>
        <v>-1.2853099823159346</v>
      </c>
      <c r="K200" s="3">
        <f t="shared" si="35"/>
        <v>0.660598248247804</v>
      </c>
      <c r="L200" s="3">
        <f t="shared" si="36"/>
        <v>0.17013506885729507</v>
      </c>
      <c r="M200" s="3">
        <f t="shared" si="37"/>
        <v>-0.4523762992441222</v>
      </c>
      <c r="N200" s="3">
        <f t="shared" si="38"/>
        <v>0.31391471423157125</v>
      </c>
      <c r="O200" s="3">
        <f t="shared" si="39"/>
        <v>0.29528534875532675</v>
      </c>
      <c r="P200" s="3">
        <f t="shared" si="40"/>
        <v>0.57328957861649443</v>
      </c>
      <c r="Q200" s="3">
        <f t="shared" si="41"/>
        <v>-0.85164966587689661</v>
      </c>
      <c r="R200" s="3">
        <f t="shared" si="43"/>
        <v>-0.57328957861649443</v>
      </c>
    </row>
    <row r="201" spans="1:18" x14ac:dyDescent="0.3">
      <c r="A201" s="2">
        <v>197</v>
      </c>
      <c r="B201" s="2">
        <v>0</v>
      </c>
      <c r="C201" s="2">
        <v>38</v>
      </c>
      <c r="D201" s="2">
        <f t="shared" si="42"/>
        <v>1444</v>
      </c>
      <c r="E201" s="2">
        <v>59.734499999999997</v>
      </c>
      <c r="F201" s="2">
        <v>194.79079999999999</v>
      </c>
      <c r="G201" s="2">
        <v>0.40845599999999999</v>
      </c>
      <c r="H201" s="2">
        <v>5</v>
      </c>
      <c r="I201" s="3">
        <f t="shared" si="33"/>
        <v>1.4941013982741542</v>
      </c>
      <c r="J201" s="3">
        <f t="shared" si="34"/>
        <v>1.6225643324346428</v>
      </c>
      <c r="K201" s="3">
        <f t="shared" si="35"/>
        <v>-1.5223316039494956</v>
      </c>
      <c r="L201" s="3">
        <f t="shared" si="36"/>
        <v>1.5208791219892814</v>
      </c>
      <c r="M201" s="3">
        <f t="shared" si="37"/>
        <v>-0.28681519584085552</v>
      </c>
      <c r="N201" s="3">
        <f t="shared" si="38"/>
        <v>0.90176998432814681</v>
      </c>
      <c r="O201" s="3">
        <f t="shared" si="39"/>
        <v>-8.3712251972755863E-2</v>
      </c>
      <c r="P201" s="3">
        <f t="shared" si="40"/>
        <v>0.47908414998566101</v>
      </c>
      <c r="Q201" s="3">
        <f t="shared" si="41"/>
        <v>-0.65216676656118766</v>
      </c>
      <c r="R201" s="3">
        <f t="shared" si="43"/>
        <v>-0.47908414998566101</v>
      </c>
    </row>
    <row r="202" spans="1:18" x14ac:dyDescent="0.3">
      <c r="A202" s="2">
        <v>198</v>
      </c>
      <c r="B202" s="2">
        <v>1</v>
      </c>
      <c r="C202" s="2">
        <v>29</v>
      </c>
      <c r="D202" s="2">
        <f t="shared" si="42"/>
        <v>841</v>
      </c>
      <c r="E202" s="2">
        <v>74.421000000000006</v>
      </c>
      <c r="F202" s="2">
        <v>186.1114</v>
      </c>
      <c r="G202" s="2">
        <v>0.679697</v>
      </c>
      <c r="H202" s="2">
        <v>6</v>
      </c>
      <c r="I202" s="3">
        <f t="shared" si="33"/>
        <v>0.1176132639239249</v>
      </c>
      <c r="J202" s="3">
        <f t="shared" si="34"/>
        <v>3.4985782383379449E-3</v>
      </c>
      <c r="K202" s="3">
        <f t="shared" si="35"/>
        <v>-3.7740368319988331E-2</v>
      </c>
      <c r="L202" s="3">
        <f t="shared" si="36"/>
        <v>0.64318975618802077</v>
      </c>
      <c r="M202" s="3">
        <f t="shared" si="37"/>
        <v>0.66096892117240846</v>
      </c>
      <c r="N202" s="3">
        <f t="shared" si="38"/>
        <v>1.4896252544247224</v>
      </c>
      <c r="O202" s="3">
        <f t="shared" si="39"/>
        <v>-3.1506307180040008E-2</v>
      </c>
      <c r="P202" s="3">
        <f t="shared" si="40"/>
        <v>0.4921240746956046</v>
      </c>
      <c r="Q202" s="3">
        <f t="shared" si="41"/>
        <v>-0.70902440994229499</v>
      </c>
      <c r="R202" s="3">
        <f t="shared" si="43"/>
        <v>0.5078759253043954</v>
      </c>
    </row>
    <row r="203" spans="1:18" x14ac:dyDescent="0.3">
      <c r="A203" s="2">
        <v>199</v>
      </c>
      <c r="B203" s="2">
        <v>0</v>
      </c>
      <c r="C203" s="2">
        <v>23</v>
      </c>
      <c r="D203" s="2">
        <f t="shared" si="42"/>
        <v>529</v>
      </c>
      <c r="E203" s="2">
        <v>83.184799999999996</v>
      </c>
      <c r="F203" s="2">
        <v>202.90880000000001</v>
      </c>
      <c r="G203" s="2">
        <v>5.6680000000000001E-2</v>
      </c>
      <c r="H203" s="2">
        <v>6</v>
      </c>
      <c r="I203" s="3">
        <f t="shared" si="33"/>
        <v>-0.80004549230956135</v>
      </c>
      <c r="J203" s="3">
        <f t="shared" si="34"/>
        <v>-0.83422698612193913</v>
      </c>
      <c r="K203" s="3">
        <f t="shared" si="35"/>
        <v>0.84815216365222101</v>
      </c>
      <c r="L203" s="3">
        <f t="shared" si="36"/>
        <v>2.3417978803797999</v>
      </c>
      <c r="M203" s="3">
        <f t="shared" si="37"/>
        <v>-1.5160088116528379</v>
      </c>
      <c r="N203" s="3">
        <f t="shared" si="38"/>
        <v>1.4896252544247224</v>
      </c>
      <c r="O203" s="3">
        <f t="shared" si="39"/>
        <v>0.26991578775625691</v>
      </c>
      <c r="P203" s="3">
        <f t="shared" si="40"/>
        <v>0.56707223086559089</v>
      </c>
      <c r="Q203" s="3">
        <f t="shared" si="41"/>
        <v>-0.83718437982688609</v>
      </c>
      <c r="R203" s="3">
        <f t="shared" si="43"/>
        <v>-0.56707223086559089</v>
      </c>
    </row>
    <row r="204" spans="1:18" x14ac:dyDescent="0.3">
      <c r="A204" s="2">
        <v>200</v>
      </c>
      <c r="B204" s="2">
        <v>0</v>
      </c>
      <c r="C204" s="2">
        <v>21</v>
      </c>
      <c r="D204" s="2">
        <f t="shared" si="42"/>
        <v>441</v>
      </c>
      <c r="E204" s="2">
        <v>76.338499999999996</v>
      </c>
      <c r="F204" s="2">
        <v>181.07040000000001</v>
      </c>
      <c r="G204" s="2">
        <v>3.4673000000000002E-2</v>
      </c>
      <c r="H204" s="2">
        <v>6</v>
      </c>
      <c r="I204" s="3">
        <f t="shared" si="33"/>
        <v>-1.1059317443873902</v>
      </c>
      <c r="J204" s="3">
        <f t="shared" si="34"/>
        <v>-1.0705085555568892</v>
      </c>
      <c r="K204" s="3">
        <f t="shared" si="35"/>
        <v>0.15609095257468114</v>
      </c>
      <c r="L204" s="3">
        <f t="shared" si="36"/>
        <v>0.13342731949836958</v>
      </c>
      <c r="M204" s="3">
        <f t="shared" si="37"/>
        <v>-1.5929067919106563</v>
      </c>
      <c r="N204" s="3">
        <f t="shared" si="38"/>
        <v>1.4896252544247224</v>
      </c>
      <c r="O204" s="3">
        <f t="shared" si="39"/>
        <v>0.23078109393361504</v>
      </c>
      <c r="P204" s="3">
        <f t="shared" si="40"/>
        <v>0.55744055956286098</v>
      </c>
      <c r="Q204" s="3">
        <f t="shared" si="41"/>
        <v>-0.8151804948839404</v>
      </c>
      <c r="R204" s="3">
        <f t="shared" si="43"/>
        <v>-0.55744055956286098</v>
      </c>
    </row>
    <row r="205" spans="1:18" x14ac:dyDescent="0.3">
      <c r="A205" s="2">
        <v>201</v>
      </c>
      <c r="B205" s="2">
        <v>0</v>
      </c>
      <c r="C205" s="2">
        <v>28</v>
      </c>
      <c r="D205" s="2">
        <f t="shared" si="42"/>
        <v>784</v>
      </c>
      <c r="E205" s="2">
        <v>79.466399999999993</v>
      </c>
      <c r="F205" s="2">
        <v>178.94470000000001</v>
      </c>
      <c r="G205" s="2">
        <v>0.39191100000000001</v>
      </c>
      <c r="H205" s="2">
        <v>4</v>
      </c>
      <c r="I205" s="3">
        <f t="shared" si="33"/>
        <v>-3.5329862114989473E-2</v>
      </c>
      <c r="J205" s="3">
        <f t="shared" si="34"/>
        <v>-0.14954743832748191</v>
      </c>
      <c r="K205" s="3">
        <f t="shared" si="35"/>
        <v>0.47227608354022965</v>
      </c>
      <c r="L205" s="3">
        <f t="shared" si="36"/>
        <v>-8.1530429295756504E-2</v>
      </c>
      <c r="M205" s="3">
        <f t="shared" si="37"/>
        <v>-0.34462757750876127</v>
      </c>
      <c r="N205" s="3">
        <f t="shared" si="38"/>
        <v>0.31391471423157125</v>
      </c>
      <c r="O205" s="3">
        <f t="shared" si="39"/>
        <v>5.7526125224555039E-2</v>
      </c>
      <c r="P205" s="3">
        <f t="shared" si="40"/>
        <v>0.51437756660518918</v>
      </c>
      <c r="Q205" s="3">
        <f t="shared" si="41"/>
        <v>-0.72232384303288244</v>
      </c>
      <c r="R205" s="3">
        <f t="shared" si="43"/>
        <v>-0.51437756660518918</v>
      </c>
    </row>
    <row r="206" spans="1:18" x14ac:dyDescent="0.3">
      <c r="A206" s="2">
        <v>202</v>
      </c>
      <c r="B206" s="2">
        <v>0</v>
      </c>
      <c r="C206" s="2">
        <v>34</v>
      </c>
      <c r="D206" s="2">
        <f t="shared" si="42"/>
        <v>1156</v>
      </c>
      <c r="E206" s="2">
        <v>72.8673</v>
      </c>
      <c r="F206" s="2">
        <v>178.15639999999999</v>
      </c>
      <c r="G206" s="2">
        <v>0.69716400000000001</v>
      </c>
      <c r="H206" s="2">
        <v>5</v>
      </c>
      <c r="I206" s="3">
        <f t="shared" si="33"/>
        <v>0.8823288941184968</v>
      </c>
      <c r="J206" s="3">
        <f t="shared" si="34"/>
        <v>0.84927919610207925</v>
      </c>
      <c r="K206" s="3">
        <f t="shared" si="35"/>
        <v>-0.19479680809785055</v>
      </c>
      <c r="L206" s="3">
        <f t="shared" si="36"/>
        <v>-0.16124590813774478</v>
      </c>
      <c r="M206" s="3">
        <f t="shared" si="37"/>
        <v>0.72200300219950508</v>
      </c>
      <c r="N206" s="3">
        <f t="shared" si="38"/>
        <v>0.90176998432814681</v>
      </c>
      <c r="O206" s="3">
        <f t="shared" si="39"/>
        <v>-8.9267208890870392E-2</v>
      </c>
      <c r="P206" s="3">
        <f t="shared" si="40"/>
        <v>0.47769800551448116</v>
      </c>
      <c r="Q206" s="3">
        <f t="shared" si="41"/>
        <v>-0.64950932488832225</v>
      </c>
      <c r="R206" s="3">
        <f t="shared" si="43"/>
        <v>-0.47769800551448116</v>
      </c>
    </row>
    <row r="207" spans="1:18" x14ac:dyDescent="0.3">
      <c r="A207" s="2">
        <v>203</v>
      </c>
      <c r="B207" s="2">
        <v>1</v>
      </c>
      <c r="C207" s="2">
        <v>23</v>
      </c>
      <c r="D207" s="2">
        <f t="shared" si="42"/>
        <v>529</v>
      </c>
      <c r="E207" s="2">
        <v>86.290700000000001</v>
      </c>
      <c r="F207" s="2">
        <v>175.60409999999999</v>
      </c>
      <c r="G207" s="2">
        <v>0.193435</v>
      </c>
      <c r="H207" s="2">
        <v>6</v>
      </c>
      <c r="I207" s="3">
        <f t="shared" si="33"/>
        <v>-0.80004549230956135</v>
      </c>
      <c r="J207" s="3">
        <f t="shared" si="34"/>
        <v>-0.83422698612193913</v>
      </c>
      <c r="K207" s="3">
        <f t="shared" si="35"/>
        <v>1.1621134150560062</v>
      </c>
      <c r="L207" s="3">
        <f t="shared" si="36"/>
        <v>-0.41934284667434446</v>
      </c>
      <c r="M207" s="3">
        <f t="shared" si="37"/>
        <v>-1.0381525254639916</v>
      </c>
      <c r="N207" s="3">
        <f t="shared" si="38"/>
        <v>1.4896252544247224</v>
      </c>
      <c r="O207" s="3">
        <f t="shared" si="39"/>
        <v>0.20619054144190613</v>
      </c>
      <c r="P207" s="3">
        <f t="shared" si="40"/>
        <v>0.55136578146702531</v>
      </c>
      <c r="Q207" s="3">
        <f t="shared" si="41"/>
        <v>-0.59535683986791721</v>
      </c>
      <c r="R207" s="3">
        <f t="shared" si="43"/>
        <v>0.44863421853297469</v>
      </c>
    </row>
    <row r="208" spans="1:18" x14ac:dyDescent="0.3">
      <c r="A208" s="2">
        <v>204</v>
      </c>
      <c r="B208" s="2">
        <v>0</v>
      </c>
      <c r="C208" s="2">
        <v>22</v>
      </c>
      <c r="D208" s="2">
        <f t="shared" si="42"/>
        <v>484</v>
      </c>
      <c r="E208" s="2">
        <v>74.195800000000006</v>
      </c>
      <c r="F208" s="2">
        <v>157.92250000000001</v>
      </c>
      <c r="G208" s="2">
        <v>0.64150399999999996</v>
      </c>
      <c r="H208" s="2">
        <v>6</v>
      </c>
      <c r="I208" s="3">
        <f t="shared" si="33"/>
        <v>-0.9529886183484757</v>
      </c>
      <c r="J208" s="3">
        <f t="shared" si="34"/>
        <v>-0.9550527886739022</v>
      </c>
      <c r="K208" s="3">
        <f t="shared" si="35"/>
        <v>-6.0504808197683238E-2</v>
      </c>
      <c r="L208" s="3">
        <f t="shared" si="36"/>
        <v>-2.2073641719216623</v>
      </c>
      <c r="M208" s="3">
        <f t="shared" si="37"/>
        <v>0.52751299533122809</v>
      </c>
      <c r="N208" s="3">
        <f t="shared" si="38"/>
        <v>1.4896252544247224</v>
      </c>
      <c r="O208" s="3">
        <f t="shared" si="39"/>
        <v>4.4066400005066647E-2</v>
      </c>
      <c r="P208" s="3">
        <f t="shared" si="40"/>
        <v>0.51101481763417644</v>
      </c>
      <c r="Q208" s="3">
        <f t="shared" si="41"/>
        <v>-0.71542309187675845</v>
      </c>
      <c r="R208" s="3">
        <f t="shared" si="43"/>
        <v>-0.51101481763417644</v>
      </c>
    </row>
    <row r="209" spans="1:18" x14ac:dyDescent="0.3">
      <c r="A209" s="2">
        <v>205</v>
      </c>
      <c r="B209" s="2">
        <v>0</v>
      </c>
      <c r="C209" s="2">
        <v>37</v>
      </c>
      <c r="D209" s="2">
        <f t="shared" si="42"/>
        <v>1369</v>
      </c>
      <c r="E209" s="2">
        <v>70.345500000000001</v>
      </c>
      <c r="F209" s="2">
        <v>177.79810000000001</v>
      </c>
      <c r="G209" s="2">
        <v>0.259828</v>
      </c>
      <c r="H209" s="2">
        <v>1</v>
      </c>
      <c r="I209" s="3">
        <f t="shared" si="33"/>
        <v>1.34115827223524</v>
      </c>
      <c r="J209" s="3">
        <f t="shared" si="34"/>
        <v>1.4211879948480377</v>
      </c>
      <c r="K209" s="3">
        <f t="shared" si="35"/>
        <v>-0.44971405713679702</v>
      </c>
      <c r="L209" s="3">
        <f t="shared" si="36"/>
        <v>-0.19747837809725577</v>
      </c>
      <c r="M209" s="3">
        <f t="shared" si="37"/>
        <v>-0.80615872334387817</v>
      </c>
      <c r="N209" s="3">
        <f t="shared" si="38"/>
        <v>-1.4496510960581555</v>
      </c>
      <c r="O209" s="3">
        <f t="shared" si="39"/>
        <v>-4.2285804275130137E-3</v>
      </c>
      <c r="P209" s="3">
        <f t="shared" si="40"/>
        <v>0.49894285646834374</v>
      </c>
      <c r="Q209" s="3">
        <f t="shared" si="41"/>
        <v>-0.69103512545607759</v>
      </c>
      <c r="R209" s="3">
        <f t="shared" si="43"/>
        <v>-0.49894285646834374</v>
      </c>
    </row>
    <row r="210" spans="1:18" x14ac:dyDescent="0.3">
      <c r="A210" s="2">
        <v>206</v>
      </c>
      <c r="B210" s="2">
        <v>0</v>
      </c>
      <c r="C210" s="2">
        <v>19</v>
      </c>
      <c r="D210" s="2">
        <f t="shared" si="42"/>
        <v>361</v>
      </c>
      <c r="E210" s="2">
        <v>83.865200000000002</v>
      </c>
      <c r="F210" s="2">
        <v>159.32149999999999</v>
      </c>
      <c r="G210" s="2">
        <v>0.88608600000000004</v>
      </c>
      <c r="H210" s="2">
        <v>1</v>
      </c>
      <c r="I210" s="3">
        <f t="shared" si="33"/>
        <v>-1.4118179964652189</v>
      </c>
      <c r="J210" s="3">
        <f t="shared" si="34"/>
        <v>-1.2853099823159346</v>
      </c>
      <c r="K210" s="3">
        <f t="shared" si="35"/>
        <v>0.91693069337150912</v>
      </c>
      <c r="L210" s="3">
        <f t="shared" si="36"/>
        <v>-2.0658927081389193</v>
      </c>
      <c r="M210" s="3">
        <f t="shared" si="37"/>
        <v>1.3821438767515819</v>
      </c>
      <c r="N210" s="3">
        <f t="shared" si="38"/>
        <v>-1.4496510960581555</v>
      </c>
      <c r="O210" s="3">
        <f t="shared" si="39"/>
        <v>0.20688666350828094</v>
      </c>
      <c r="P210" s="3">
        <f t="shared" si="40"/>
        <v>0.55153796914103104</v>
      </c>
      <c r="Q210" s="3">
        <f t="shared" si="41"/>
        <v>-0.80193125912948182</v>
      </c>
      <c r="R210" s="3">
        <f t="shared" si="43"/>
        <v>-0.55153796914103104</v>
      </c>
    </row>
    <row r="211" spans="1:18" x14ac:dyDescent="0.3">
      <c r="A211" s="2">
        <v>207</v>
      </c>
      <c r="B211" s="2">
        <v>0</v>
      </c>
      <c r="C211" s="2">
        <v>23</v>
      </c>
      <c r="D211" s="2">
        <f t="shared" si="42"/>
        <v>529</v>
      </c>
      <c r="E211" s="2">
        <v>60.948399999999999</v>
      </c>
      <c r="F211" s="2">
        <v>184.52029999999999</v>
      </c>
      <c r="G211" s="2">
        <v>0.89568999999999999</v>
      </c>
      <c r="H211" s="2">
        <v>1</v>
      </c>
      <c r="I211" s="3">
        <f t="shared" si="33"/>
        <v>-0.80004549230956135</v>
      </c>
      <c r="J211" s="3">
        <f t="shared" si="34"/>
        <v>-0.83422698612193913</v>
      </c>
      <c r="K211" s="3">
        <f t="shared" si="35"/>
        <v>-1.3996239948574274</v>
      </c>
      <c r="L211" s="3">
        <f t="shared" si="36"/>
        <v>0.48229251099521969</v>
      </c>
      <c r="M211" s="3">
        <f t="shared" si="37"/>
        <v>1.4157026627013289</v>
      </c>
      <c r="N211" s="3">
        <f t="shared" si="38"/>
        <v>-1.4496510960581555</v>
      </c>
      <c r="O211" s="3">
        <f t="shared" si="39"/>
        <v>-4.1585886180313322E-3</v>
      </c>
      <c r="P211" s="3">
        <f t="shared" si="40"/>
        <v>0.49896035434378216</v>
      </c>
      <c r="Q211" s="3">
        <f t="shared" si="41"/>
        <v>-0.69107004798178362</v>
      </c>
      <c r="R211" s="3">
        <f t="shared" si="43"/>
        <v>-0.49896035434378216</v>
      </c>
    </row>
    <row r="212" spans="1:18" x14ac:dyDescent="0.3">
      <c r="A212" s="2">
        <v>208</v>
      </c>
      <c r="B212" s="2">
        <v>1</v>
      </c>
      <c r="C212" s="2">
        <v>39</v>
      </c>
      <c r="D212" s="2">
        <f t="shared" si="42"/>
        <v>1521</v>
      </c>
      <c r="E212" s="2">
        <v>80.010300000000001</v>
      </c>
      <c r="F212" s="2">
        <v>167.5994</v>
      </c>
      <c r="G212" s="2">
        <v>0.29728700000000002</v>
      </c>
      <c r="H212" s="2">
        <v>2</v>
      </c>
      <c r="I212" s="3">
        <f t="shared" si="33"/>
        <v>1.6470445243130687</v>
      </c>
      <c r="J212" s="3">
        <f t="shared" si="34"/>
        <v>1.829310705690224</v>
      </c>
      <c r="K212" s="3">
        <f t="shared" si="35"/>
        <v>0.52725645143311772</v>
      </c>
      <c r="L212" s="3">
        <f t="shared" si="36"/>
        <v>-1.2288043378407094</v>
      </c>
      <c r="M212" s="3">
        <f t="shared" si="37"/>
        <v>-0.67526757768669554</v>
      </c>
      <c r="N212" s="3">
        <f t="shared" si="38"/>
        <v>-0.86179582596158</v>
      </c>
      <c r="O212" s="3">
        <f t="shared" si="39"/>
        <v>3.6018979952635095E-2</v>
      </c>
      <c r="P212" s="3">
        <f t="shared" si="40"/>
        <v>0.50900377157625898</v>
      </c>
      <c r="Q212" s="3">
        <f t="shared" si="41"/>
        <v>-0.67529985268252635</v>
      </c>
      <c r="R212" s="3">
        <f t="shared" si="43"/>
        <v>0.49099622842374102</v>
      </c>
    </row>
    <row r="213" spans="1:18" x14ac:dyDescent="0.3">
      <c r="A213" s="2">
        <v>209</v>
      </c>
      <c r="B213" s="2">
        <v>0</v>
      </c>
      <c r="C213" s="2">
        <v>28</v>
      </c>
      <c r="D213" s="2">
        <f t="shared" si="42"/>
        <v>784</v>
      </c>
      <c r="E213" s="2">
        <v>64.575199999999995</v>
      </c>
      <c r="F213" s="2">
        <v>171.05670000000001</v>
      </c>
      <c r="G213" s="2">
        <v>0.229994</v>
      </c>
      <c r="H213" s="2">
        <v>6</v>
      </c>
      <c r="I213" s="3">
        <f t="shared" si="33"/>
        <v>-3.5329862114989473E-2</v>
      </c>
      <c r="J213" s="3">
        <f t="shared" si="34"/>
        <v>-0.14954743832748191</v>
      </c>
      <c r="K213" s="3">
        <f t="shared" si="35"/>
        <v>-1.0330073405571456</v>
      </c>
      <c r="L213" s="3">
        <f t="shared" si="36"/>
        <v>-0.87919083409797316</v>
      </c>
      <c r="M213" s="3">
        <f t="shared" si="37"/>
        <v>-0.91040620564549835</v>
      </c>
      <c r="N213" s="3">
        <f t="shared" si="38"/>
        <v>1.4896252544247224</v>
      </c>
      <c r="O213" s="3">
        <f t="shared" si="39"/>
        <v>-5.1996050310913686E-2</v>
      </c>
      <c r="P213" s="3">
        <f t="shared" si="40"/>
        <v>0.48700391529658371</v>
      </c>
      <c r="Q213" s="3">
        <f t="shared" si="41"/>
        <v>-0.66748706599757579</v>
      </c>
      <c r="R213" s="3">
        <f t="shared" si="43"/>
        <v>-0.48700391529658371</v>
      </c>
    </row>
    <row r="214" spans="1:18" x14ac:dyDescent="0.3">
      <c r="A214" s="2">
        <v>210</v>
      </c>
      <c r="B214" s="2">
        <v>1</v>
      </c>
      <c r="C214" s="2">
        <v>33</v>
      </c>
      <c r="D214" s="2">
        <f t="shared" si="42"/>
        <v>1089</v>
      </c>
      <c r="E214" s="2">
        <v>87.779300000000006</v>
      </c>
      <c r="F214" s="2">
        <v>173.30590000000001</v>
      </c>
      <c r="G214" s="2">
        <v>0.411304</v>
      </c>
      <c r="H214" s="2">
        <v>2</v>
      </c>
      <c r="I214" s="3">
        <f t="shared" si="33"/>
        <v>0.72938576807958244</v>
      </c>
      <c r="J214" s="3">
        <f t="shared" si="34"/>
        <v>0.66938300119137872</v>
      </c>
      <c r="K214" s="3">
        <f t="shared" si="35"/>
        <v>1.3125891930397389</v>
      </c>
      <c r="L214" s="3">
        <f t="shared" si="36"/>
        <v>-0.65174436065969399</v>
      </c>
      <c r="M214" s="3">
        <f t="shared" si="37"/>
        <v>-0.27686356918686961</v>
      </c>
      <c r="N214" s="3">
        <f t="shared" si="38"/>
        <v>-0.86179582596158</v>
      </c>
      <c r="O214" s="3">
        <f t="shared" si="39"/>
        <v>6.7864120047160151E-2</v>
      </c>
      <c r="P214" s="3">
        <f t="shared" si="40"/>
        <v>0.51695952153350122</v>
      </c>
      <c r="Q214" s="3">
        <f t="shared" si="41"/>
        <v>-0.6597907024451013</v>
      </c>
      <c r="R214" s="3">
        <f t="shared" si="43"/>
        <v>0.48304047846649878</v>
      </c>
    </row>
    <row r="215" spans="1:18" x14ac:dyDescent="0.3">
      <c r="A215" s="2">
        <v>211</v>
      </c>
      <c r="B215" s="2">
        <v>0</v>
      </c>
      <c r="C215" s="2">
        <v>33</v>
      </c>
      <c r="D215" s="2">
        <f t="shared" si="42"/>
        <v>1089</v>
      </c>
      <c r="E215" s="2">
        <v>72.389700000000005</v>
      </c>
      <c r="F215" s="2">
        <v>177.95060000000001</v>
      </c>
      <c r="G215" s="2">
        <v>0.240532</v>
      </c>
      <c r="H215" s="2">
        <v>5</v>
      </c>
      <c r="I215" s="3">
        <f t="shared" si="33"/>
        <v>0.72938576807958244</v>
      </c>
      <c r="J215" s="3">
        <f t="shared" si="34"/>
        <v>0.66938300119137872</v>
      </c>
      <c r="K215" s="3">
        <f t="shared" si="35"/>
        <v>-0.24307521167505719</v>
      </c>
      <c r="L215" s="3">
        <f t="shared" si="36"/>
        <v>-0.18205707843544786</v>
      </c>
      <c r="M215" s="3">
        <f t="shared" si="37"/>
        <v>-0.87358378932537772</v>
      </c>
      <c r="N215" s="3">
        <f t="shared" si="38"/>
        <v>0.90176998432814681</v>
      </c>
      <c r="O215" s="3">
        <f t="shared" si="39"/>
        <v>-2.2468129074573621E-2</v>
      </c>
      <c r="P215" s="3">
        <f t="shared" si="40"/>
        <v>0.49438320401712776</v>
      </c>
      <c r="Q215" s="3">
        <f t="shared" si="41"/>
        <v>-0.68197621679842535</v>
      </c>
      <c r="R215" s="3">
        <f t="shared" si="43"/>
        <v>-0.49438320401712776</v>
      </c>
    </row>
    <row r="216" spans="1:18" x14ac:dyDescent="0.3">
      <c r="A216" s="2">
        <v>212</v>
      </c>
      <c r="B216" s="2">
        <v>1</v>
      </c>
      <c r="C216" s="2">
        <v>18</v>
      </c>
      <c r="D216" s="2">
        <f t="shared" si="42"/>
        <v>324</v>
      </c>
      <c r="E216" s="2">
        <v>76.349800000000002</v>
      </c>
      <c r="F216" s="2">
        <v>180.06870000000001</v>
      </c>
      <c r="G216" s="2">
        <v>0.67238399999999998</v>
      </c>
      <c r="H216" s="2">
        <v>4</v>
      </c>
      <c r="I216" s="3">
        <f t="shared" si="33"/>
        <v>-1.5647611225041334</v>
      </c>
      <c r="J216" s="3">
        <f t="shared" si="34"/>
        <v>-1.3846556421919931</v>
      </c>
      <c r="K216" s="3">
        <f t="shared" si="35"/>
        <v>0.1572332179859515</v>
      </c>
      <c r="L216" s="3">
        <f t="shared" si="36"/>
        <v>3.2132133457499976E-2</v>
      </c>
      <c r="M216" s="3">
        <f t="shared" si="37"/>
        <v>0.63541546410759153</v>
      </c>
      <c r="N216" s="3">
        <f t="shared" si="38"/>
        <v>0.31391471423157125</v>
      </c>
      <c r="O216" s="3">
        <f t="shared" si="39"/>
        <v>0.24737167674727584</v>
      </c>
      <c r="P216" s="3">
        <f t="shared" si="40"/>
        <v>0.56152947558848909</v>
      </c>
      <c r="Q216" s="3">
        <f t="shared" si="41"/>
        <v>-0.57709101181189393</v>
      </c>
      <c r="R216" s="3">
        <f t="shared" si="43"/>
        <v>0.43847052441151091</v>
      </c>
    </row>
    <row r="217" spans="1:18" x14ac:dyDescent="0.3">
      <c r="A217" s="2">
        <v>213</v>
      </c>
      <c r="B217" s="2">
        <v>1</v>
      </c>
      <c r="C217" s="2">
        <v>26</v>
      </c>
      <c r="D217" s="2">
        <f t="shared" si="42"/>
        <v>676</v>
      </c>
      <c r="E217" s="2">
        <v>79.125699999999995</v>
      </c>
      <c r="F217" s="2">
        <v>190.84479999999999</v>
      </c>
      <c r="G217" s="2">
        <v>0.82606500000000005</v>
      </c>
      <c r="H217" s="2">
        <v>6</v>
      </c>
      <c r="I217" s="3">
        <f t="shared" si="33"/>
        <v>-0.34121611419281822</v>
      </c>
      <c r="J217" s="3">
        <f t="shared" si="34"/>
        <v>-0.43952936445219321</v>
      </c>
      <c r="K217" s="3">
        <f t="shared" si="35"/>
        <v>0.43783627596327324</v>
      </c>
      <c r="L217" s="3">
        <f t="shared" si="36"/>
        <v>1.1218466730352319</v>
      </c>
      <c r="M217" s="3">
        <f t="shared" si="37"/>
        <v>1.1724154415693893</v>
      </c>
      <c r="N217" s="3">
        <f t="shared" si="38"/>
        <v>1.4896252544247224</v>
      </c>
      <c r="O217" s="3">
        <f t="shared" si="39"/>
        <v>3.5189873956220155E-2</v>
      </c>
      <c r="P217" s="3">
        <f t="shared" si="40"/>
        <v>0.50879656075606383</v>
      </c>
      <c r="Q217" s="3">
        <f t="shared" si="41"/>
        <v>-0.67570702649938508</v>
      </c>
      <c r="R217" s="3">
        <f t="shared" si="43"/>
        <v>0.49120343924393617</v>
      </c>
    </row>
    <row r="218" spans="1:18" x14ac:dyDescent="0.3">
      <c r="A218" s="2">
        <v>214</v>
      </c>
      <c r="B218" s="2">
        <v>0</v>
      </c>
      <c r="C218" s="2">
        <v>23</v>
      </c>
      <c r="D218" s="2">
        <f t="shared" si="42"/>
        <v>529</v>
      </c>
      <c r="E218" s="2">
        <v>55.703200000000002</v>
      </c>
      <c r="F218" s="2">
        <v>174.22470000000001</v>
      </c>
      <c r="G218" s="2">
        <v>0.67309200000000002</v>
      </c>
      <c r="H218" s="2">
        <v>4</v>
      </c>
      <c r="I218" s="3">
        <f t="shared" si="33"/>
        <v>-0.80004549230956135</v>
      </c>
      <c r="J218" s="3">
        <f t="shared" si="34"/>
        <v>-0.83422698612193913</v>
      </c>
      <c r="K218" s="3">
        <f t="shared" si="35"/>
        <v>-1.9298373165558498</v>
      </c>
      <c r="L218" s="3">
        <f t="shared" si="36"/>
        <v>-0.55883229423825898</v>
      </c>
      <c r="M218" s="3">
        <f t="shared" si="37"/>
        <v>0.63788939376736065</v>
      </c>
      <c r="N218" s="3">
        <f t="shared" si="38"/>
        <v>0.31391471423157125</v>
      </c>
      <c r="O218" s="3">
        <f t="shared" si="39"/>
        <v>-5.4585220707494206E-2</v>
      </c>
      <c r="P218" s="3">
        <f t="shared" si="40"/>
        <v>0.48635708213039663</v>
      </c>
      <c r="Q218" s="3">
        <f t="shared" si="41"/>
        <v>-0.66622696726733988</v>
      </c>
      <c r="R218" s="3">
        <f t="shared" si="43"/>
        <v>-0.48635708213039663</v>
      </c>
    </row>
    <row r="219" spans="1:18" x14ac:dyDescent="0.3">
      <c r="A219" s="2">
        <v>215</v>
      </c>
      <c r="B219" s="2">
        <v>0</v>
      </c>
      <c r="C219" s="2">
        <v>33</v>
      </c>
      <c r="D219" s="2">
        <f t="shared" si="42"/>
        <v>1089</v>
      </c>
      <c r="E219" s="2">
        <v>68.494200000000006</v>
      </c>
      <c r="F219" s="2">
        <v>184.8015</v>
      </c>
      <c r="G219" s="2">
        <v>0.82435000000000003</v>
      </c>
      <c r="H219" s="2">
        <v>1</v>
      </c>
      <c r="I219" s="3">
        <f t="shared" si="33"/>
        <v>0.72938576807958244</v>
      </c>
      <c r="J219" s="3">
        <f t="shared" si="34"/>
        <v>0.66938300119137872</v>
      </c>
      <c r="K219" s="3">
        <f t="shared" si="35"/>
        <v>-0.6368535222592494</v>
      </c>
      <c r="L219" s="3">
        <f t="shared" si="36"/>
        <v>0.51072837633882939</v>
      </c>
      <c r="M219" s="3">
        <f t="shared" si="37"/>
        <v>1.1664228012212201</v>
      </c>
      <c r="N219" s="3">
        <f t="shared" si="38"/>
        <v>-1.4496510960581555</v>
      </c>
      <c r="O219" s="3">
        <f t="shared" si="39"/>
        <v>-8.6137753640716117E-2</v>
      </c>
      <c r="P219" s="3">
        <f t="shared" si="40"/>
        <v>0.47847886666326389</v>
      </c>
      <c r="Q219" s="3">
        <f t="shared" si="41"/>
        <v>-0.65100548122675084</v>
      </c>
      <c r="R219" s="3">
        <f t="shared" si="43"/>
        <v>-0.47847886666326389</v>
      </c>
    </row>
    <row r="220" spans="1:18" x14ac:dyDescent="0.3">
      <c r="A220" s="2">
        <v>216</v>
      </c>
      <c r="B220" s="2">
        <v>1</v>
      </c>
      <c r="C220" s="2">
        <v>20</v>
      </c>
      <c r="D220" s="2">
        <f t="shared" si="42"/>
        <v>400</v>
      </c>
      <c r="E220" s="2">
        <v>85.435500000000005</v>
      </c>
      <c r="F220" s="2">
        <v>207.30869999999999</v>
      </c>
      <c r="G220" s="2">
        <v>0.39699200000000001</v>
      </c>
      <c r="H220" s="2">
        <v>6</v>
      </c>
      <c r="I220" s="3">
        <f t="shared" si="33"/>
        <v>-1.2588748704263044</v>
      </c>
      <c r="J220" s="3">
        <f t="shared" si="34"/>
        <v>-1.1805942867708998</v>
      </c>
      <c r="K220" s="3">
        <f t="shared" si="35"/>
        <v>1.0756651513641566</v>
      </c>
      <c r="L220" s="3">
        <f t="shared" si="36"/>
        <v>2.7867301845239747</v>
      </c>
      <c r="M220" s="3">
        <f t="shared" si="37"/>
        <v>-0.32687328852389397</v>
      </c>
      <c r="N220" s="3">
        <f t="shared" si="38"/>
        <v>1.4896252544247224</v>
      </c>
      <c r="O220" s="3">
        <f t="shared" si="39"/>
        <v>0.32902549277882526</v>
      </c>
      <c r="P220" s="3">
        <f t="shared" si="40"/>
        <v>0.58152224534861441</v>
      </c>
      <c r="Q220" s="3">
        <f t="shared" si="41"/>
        <v>-0.54210605264142986</v>
      </c>
      <c r="R220" s="3">
        <f t="shared" si="43"/>
        <v>0.41847775465138559</v>
      </c>
    </row>
    <row r="221" spans="1:18" x14ac:dyDescent="0.3">
      <c r="A221" s="2">
        <v>217</v>
      </c>
      <c r="B221" s="2">
        <v>1</v>
      </c>
      <c r="C221" s="2">
        <v>37</v>
      </c>
      <c r="D221" s="2">
        <f t="shared" si="42"/>
        <v>1369</v>
      </c>
      <c r="E221" s="2">
        <v>83.677700000000002</v>
      </c>
      <c r="F221" s="2">
        <v>183.77350000000001</v>
      </c>
      <c r="G221" s="2">
        <v>0.15631700000000001</v>
      </c>
      <c r="H221" s="2">
        <v>3</v>
      </c>
      <c r="I221" s="3">
        <f t="shared" si="33"/>
        <v>1.34115827223524</v>
      </c>
      <c r="J221" s="3">
        <f t="shared" si="34"/>
        <v>1.4211879948480377</v>
      </c>
      <c r="K221" s="3">
        <f t="shared" si="35"/>
        <v>0.89797717437920099</v>
      </c>
      <c r="L221" s="3">
        <f t="shared" si="36"/>
        <v>0.40677364812677669</v>
      </c>
      <c r="M221" s="3">
        <f t="shared" si="37"/>
        <v>-1.1678521315534041</v>
      </c>
      <c r="N221" s="3">
        <f t="shared" si="38"/>
        <v>-0.27394055586500432</v>
      </c>
      <c r="O221" s="3">
        <f t="shared" si="39"/>
        <v>9.7107549289330464E-2</v>
      </c>
      <c r="P221" s="3">
        <f t="shared" si="40"/>
        <v>0.52425782795818787</v>
      </c>
      <c r="Q221" s="3">
        <f t="shared" si="41"/>
        <v>-0.64577167758399712</v>
      </c>
      <c r="R221" s="3">
        <f t="shared" si="43"/>
        <v>0.47574217204181213</v>
      </c>
    </row>
    <row r="222" spans="1:18" x14ac:dyDescent="0.3">
      <c r="A222" s="2">
        <v>218</v>
      </c>
      <c r="B222" s="2">
        <v>0</v>
      </c>
      <c r="C222" s="2">
        <v>21</v>
      </c>
      <c r="D222" s="2">
        <f t="shared" si="42"/>
        <v>441</v>
      </c>
      <c r="E222" s="2">
        <v>77.830299999999994</v>
      </c>
      <c r="F222" s="2">
        <v>178.1951</v>
      </c>
      <c r="G222" s="2">
        <v>0.73795100000000002</v>
      </c>
      <c r="H222" s="2">
        <v>2</v>
      </c>
      <c r="I222" s="3">
        <f t="shared" si="33"/>
        <v>-1.1059317443873902</v>
      </c>
      <c r="J222" s="3">
        <f t="shared" si="34"/>
        <v>-1.0705085555568892</v>
      </c>
      <c r="K222" s="3">
        <f t="shared" si="35"/>
        <v>0.30689020394921518</v>
      </c>
      <c r="L222" s="3">
        <f t="shared" si="36"/>
        <v>-0.15733243733832156</v>
      </c>
      <c r="M222" s="3">
        <f t="shared" si="37"/>
        <v>0.86452301495797446</v>
      </c>
      <c r="N222" s="3">
        <f t="shared" si="38"/>
        <v>-0.86179582596158</v>
      </c>
      <c r="O222" s="3">
        <f t="shared" si="39"/>
        <v>0.16227558376890677</v>
      </c>
      <c r="P222" s="3">
        <f t="shared" si="40"/>
        <v>0.5404801034597142</v>
      </c>
      <c r="Q222" s="3">
        <f t="shared" si="41"/>
        <v>-0.77757303770971631</v>
      </c>
      <c r="R222" s="3">
        <f t="shared" si="43"/>
        <v>-0.5404801034597142</v>
      </c>
    </row>
    <row r="223" spans="1:18" x14ac:dyDescent="0.3">
      <c r="A223" s="2">
        <v>219</v>
      </c>
      <c r="B223" s="2">
        <v>1</v>
      </c>
      <c r="C223" s="2">
        <v>36</v>
      </c>
      <c r="D223" s="2">
        <f t="shared" si="42"/>
        <v>1296</v>
      </c>
      <c r="E223" s="2">
        <v>61.505400000000002</v>
      </c>
      <c r="F223" s="2">
        <v>172.20849999999999</v>
      </c>
      <c r="G223" s="2">
        <v>0.36047499999999999</v>
      </c>
      <c r="H223" s="2">
        <v>2</v>
      </c>
      <c r="I223" s="3">
        <f t="shared" si="33"/>
        <v>1.1882151461963255</v>
      </c>
      <c r="J223" s="3">
        <f t="shared" si="34"/>
        <v>1.2251816929304087</v>
      </c>
      <c r="K223" s="3">
        <f t="shared" si="35"/>
        <v>-1.3433194077709441</v>
      </c>
      <c r="L223" s="3">
        <f t="shared" si="36"/>
        <v>-0.76271704425882803</v>
      </c>
      <c r="M223" s="3">
        <f t="shared" si="37"/>
        <v>-0.45447284980324842</v>
      </c>
      <c r="N223" s="3">
        <f t="shared" si="38"/>
        <v>-0.86179582596158</v>
      </c>
      <c r="O223" s="3">
        <f t="shared" si="39"/>
        <v>-0.10280127839055123</v>
      </c>
      <c r="P223" s="3">
        <f t="shared" si="40"/>
        <v>0.47432229014349725</v>
      </c>
      <c r="Q223" s="3">
        <f t="shared" si="41"/>
        <v>-0.74586825132790469</v>
      </c>
      <c r="R223" s="3">
        <f t="shared" si="43"/>
        <v>0.52567770985650275</v>
      </c>
    </row>
    <row r="224" spans="1:18" x14ac:dyDescent="0.3">
      <c r="A224" s="2">
        <v>220</v>
      </c>
      <c r="B224" s="2">
        <v>1</v>
      </c>
      <c r="C224" s="2">
        <v>20</v>
      </c>
      <c r="D224" s="2">
        <f t="shared" si="42"/>
        <v>400</v>
      </c>
      <c r="E224" s="2">
        <v>80.855000000000004</v>
      </c>
      <c r="F224" s="2">
        <v>178.05670000000001</v>
      </c>
      <c r="G224" s="2">
        <v>0.67127099999999995</v>
      </c>
      <c r="H224" s="2">
        <v>6</v>
      </c>
      <c r="I224" s="3">
        <f t="shared" si="33"/>
        <v>-1.2588748704263044</v>
      </c>
      <c r="J224" s="3">
        <f t="shared" si="34"/>
        <v>-1.1805942867708998</v>
      </c>
      <c r="K224" s="3">
        <f t="shared" si="35"/>
        <v>0.61264331806139871</v>
      </c>
      <c r="L224" s="3">
        <f t="shared" si="36"/>
        <v>-0.17132789880188887</v>
      </c>
      <c r="M224" s="3">
        <f t="shared" si="37"/>
        <v>0.6315263628204123</v>
      </c>
      <c r="N224" s="3">
        <f t="shared" si="38"/>
        <v>1.4896252544247224</v>
      </c>
      <c r="O224" s="3">
        <f t="shared" si="39"/>
        <v>0.18937454084260275</v>
      </c>
      <c r="P224" s="3">
        <f t="shared" si="40"/>
        <v>0.54720265151341074</v>
      </c>
      <c r="Q224" s="3">
        <f t="shared" si="41"/>
        <v>-0.60293606708354297</v>
      </c>
      <c r="R224" s="3">
        <f t="shared" si="43"/>
        <v>0.45279734848658926</v>
      </c>
    </row>
    <row r="225" spans="1:18" x14ac:dyDescent="0.3">
      <c r="A225" s="2">
        <v>221</v>
      </c>
      <c r="B225" s="2">
        <v>1</v>
      </c>
      <c r="C225" s="2">
        <v>36</v>
      </c>
      <c r="D225" s="2">
        <f t="shared" si="42"/>
        <v>1296</v>
      </c>
      <c r="E225" s="2">
        <v>82.134</v>
      </c>
      <c r="F225" s="2">
        <v>171.1378</v>
      </c>
      <c r="G225" s="2">
        <v>0.270644</v>
      </c>
      <c r="H225" s="2">
        <v>1</v>
      </c>
      <c r="I225" s="3">
        <f t="shared" si="33"/>
        <v>1.1882151461963255</v>
      </c>
      <c r="J225" s="3">
        <f t="shared" si="34"/>
        <v>1.2251816929304087</v>
      </c>
      <c r="K225" s="3">
        <f t="shared" si="35"/>
        <v>0.7419315889475957</v>
      </c>
      <c r="L225" s="3">
        <f t="shared" si="36"/>
        <v>-0.87098973637618649</v>
      </c>
      <c r="M225" s="3">
        <f t="shared" si="37"/>
        <v>-0.76836490526469603</v>
      </c>
      <c r="N225" s="3">
        <f t="shared" si="38"/>
        <v>-1.4496510960581555</v>
      </c>
      <c r="O225" s="3">
        <f t="shared" si="39"/>
        <v>5.2933787650385276E-2</v>
      </c>
      <c r="P225" s="3">
        <f t="shared" si="40"/>
        <v>0.5132303577838857</v>
      </c>
      <c r="Q225" s="3">
        <f t="shared" si="41"/>
        <v>-0.66703049408549131</v>
      </c>
      <c r="R225" s="3">
        <f t="shared" si="43"/>
        <v>0.4867696422161143</v>
      </c>
    </row>
    <row r="226" spans="1:18" x14ac:dyDescent="0.3">
      <c r="A226" s="2">
        <v>222</v>
      </c>
      <c r="B226" s="2">
        <v>0</v>
      </c>
      <c r="C226" s="2">
        <v>37</v>
      </c>
      <c r="D226" s="2">
        <f t="shared" si="42"/>
        <v>1369</v>
      </c>
      <c r="E226" s="2">
        <v>75.470200000000006</v>
      </c>
      <c r="F226" s="2">
        <v>182.6866</v>
      </c>
      <c r="G226" s="2">
        <v>8.1229999999999997E-2</v>
      </c>
      <c r="H226" s="2">
        <v>2</v>
      </c>
      <c r="I226" s="3">
        <f t="shared" si="33"/>
        <v>1.34115827223524</v>
      </c>
      <c r="J226" s="3">
        <f t="shared" si="34"/>
        <v>1.4211879948480377</v>
      </c>
      <c r="K226" s="3">
        <f t="shared" si="35"/>
        <v>6.8318469689236244E-2</v>
      </c>
      <c r="L226" s="3">
        <f t="shared" si="36"/>
        <v>0.29686275893058756</v>
      </c>
      <c r="M226" s="3">
        <f t="shared" si="37"/>
        <v>-1.4302249512752565</v>
      </c>
      <c r="N226" s="3">
        <f t="shared" si="38"/>
        <v>-0.86179582596158</v>
      </c>
      <c r="O226" s="3">
        <f t="shared" si="39"/>
        <v>5.95168502110845E-2</v>
      </c>
      <c r="P226" s="3">
        <f t="shared" si="40"/>
        <v>0.51487482194370615</v>
      </c>
      <c r="Q226" s="3">
        <f t="shared" si="41"/>
        <v>-0.72334832226135082</v>
      </c>
      <c r="R226" s="3">
        <f t="shared" si="43"/>
        <v>-0.51487482194370615</v>
      </c>
    </row>
    <row r="227" spans="1:18" x14ac:dyDescent="0.3">
      <c r="A227" s="2">
        <v>223</v>
      </c>
      <c r="B227" s="2">
        <v>1</v>
      </c>
      <c r="C227" s="2">
        <v>24</v>
      </c>
      <c r="D227" s="2">
        <f t="shared" si="42"/>
        <v>576</v>
      </c>
      <c r="E227" s="2">
        <v>87.231700000000004</v>
      </c>
      <c r="F227" s="2">
        <v>181.03540000000001</v>
      </c>
      <c r="G227" s="2">
        <v>0.99258199999999996</v>
      </c>
      <c r="H227" s="2">
        <v>1</v>
      </c>
      <c r="I227" s="3">
        <f t="shared" si="33"/>
        <v>-0.64710236627064699</v>
      </c>
      <c r="J227" s="3">
        <f t="shared" si="34"/>
        <v>-0.70803114790099997</v>
      </c>
      <c r="K227" s="3">
        <f t="shared" si="35"/>
        <v>1.2572348090387366</v>
      </c>
      <c r="L227" s="3">
        <f t="shared" si="36"/>
        <v>0.12988800482188953</v>
      </c>
      <c r="M227" s="3">
        <f t="shared" si="37"/>
        <v>1.7542676239927602</v>
      </c>
      <c r="N227" s="3">
        <f t="shared" si="38"/>
        <v>-1.4496510960581555</v>
      </c>
      <c r="O227" s="3">
        <f t="shared" si="39"/>
        <v>0.12357577346369823</v>
      </c>
      <c r="P227" s="3">
        <f t="shared" si="40"/>
        <v>0.53085468826639204</v>
      </c>
      <c r="Q227" s="3">
        <f t="shared" si="41"/>
        <v>-0.63326695193982985</v>
      </c>
      <c r="R227" s="3">
        <f t="shared" si="43"/>
        <v>0.46914531173360796</v>
      </c>
    </row>
    <row r="228" spans="1:18" x14ac:dyDescent="0.3">
      <c r="A228" s="2">
        <v>224</v>
      </c>
      <c r="B228" s="2">
        <v>1</v>
      </c>
      <c r="C228" s="2">
        <v>37</v>
      </c>
      <c r="D228" s="2">
        <f t="shared" si="42"/>
        <v>1369</v>
      </c>
      <c r="E228" s="2">
        <v>68.165700000000001</v>
      </c>
      <c r="F228" s="2">
        <v>158.37780000000001</v>
      </c>
      <c r="G228" s="2">
        <v>0.15620200000000001</v>
      </c>
      <c r="H228" s="2">
        <v>5</v>
      </c>
      <c r="I228" s="3">
        <f t="shared" si="33"/>
        <v>1.34115827223524</v>
      </c>
      <c r="J228" s="3">
        <f t="shared" si="34"/>
        <v>1.4211879948480377</v>
      </c>
      <c r="K228" s="3">
        <f t="shared" si="35"/>
        <v>-0.67006008753377377</v>
      </c>
      <c r="L228" s="3">
        <f t="shared" si="36"/>
        <v>-2.1613227441444764</v>
      </c>
      <c r="M228" s="3">
        <f t="shared" si="37"/>
        <v>-1.1682539704105699</v>
      </c>
      <c r="N228" s="3">
        <f t="shared" si="38"/>
        <v>0.90176998432814681</v>
      </c>
      <c r="O228" s="3">
        <f t="shared" si="39"/>
        <v>-8.1593512868129103E-2</v>
      </c>
      <c r="P228" s="3">
        <f t="shared" si="40"/>
        <v>0.47961293110637365</v>
      </c>
      <c r="Q228" s="3">
        <f t="shared" si="41"/>
        <v>-0.73477589391874709</v>
      </c>
      <c r="R228" s="3">
        <f t="shared" si="43"/>
        <v>0.52038706889362629</v>
      </c>
    </row>
    <row r="229" spans="1:18" x14ac:dyDescent="0.3">
      <c r="A229" s="2">
        <v>225</v>
      </c>
      <c r="B229" s="2">
        <v>1</v>
      </c>
      <c r="C229" s="2">
        <v>26</v>
      </c>
      <c r="D229" s="2">
        <f t="shared" si="42"/>
        <v>676</v>
      </c>
      <c r="E229" s="2">
        <v>69.901399999999995</v>
      </c>
      <c r="F229" s="2">
        <v>179.81440000000001</v>
      </c>
      <c r="G229" s="2">
        <v>0.98842099999999999</v>
      </c>
      <c r="H229" s="2">
        <v>4</v>
      </c>
      <c r="I229" s="3">
        <f t="shared" si="33"/>
        <v>-0.34121611419281822</v>
      </c>
      <c r="J229" s="3">
        <f t="shared" si="34"/>
        <v>-0.43952936445219321</v>
      </c>
      <c r="K229" s="3">
        <f t="shared" si="35"/>
        <v>-0.4946060986540457</v>
      </c>
      <c r="L229" s="3">
        <f t="shared" si="36"/>
        <v>6.4164842509578796E-3</v>
      </c>
      <c r="M229" s="3">
        <f t="shared" si="37"/>
        <v>1.73972804586522</v>
      </c>
      <c r="N229" s="3">
        <f t="shared" si="38"/>
        <v>0.31391471423157125</v>
      </c>
      <c r="O229" s="3">
        <f t="shared" si="39"/>
        <v>-5.9510259270456001E-2</v>
      </c>
      <c r="P229" s="3">
        <f t="shared" si="40"/>
        <v>0.48512682433329873</v>
      </c>
      <c r="Q229" s="3">
        <f t="shared" si="41"/>
        <v>-0.72334492875739342</v>
      </c>
      <c r="R229" s="3">
        <f t="shared" si="43"/>
        <v>0.51487317566670132</v>
      </c>
    </row>
    <row r="230" spans="1:18" x14ac:dyDescent="0.3">
      <c r="A230" s="2">
        <v>226</v>
      </c>
      <c r="B230" s="2">
        <v>0</v>
      </c>
      <c r="C230" s="2">
        <v>18</v>
      </c>
      <c r="D230" s="2">
        <f t="shared" si="42"/>
        <v>324</v>
      </c>
      <c r="E230" s="2">
        <v>50.1539</v>
      </c>
      <c r="F230" s="2">
        <v>190.76150000000001</v>
      </c>
      <c r="G230" s="2">
        <v>0.97728000000000004</v>
      </c>
      <c r="H230" s="2">
        <v>3</v>
      </c>
      <c r="I230" s="3">
        <f t="shared" si="33"/>
        <v>-1.5647611225041334</v>
      </c>
      <c r="J230" s="3">
        <f t="shared" si="34"/>
        <v>-1.3846556421919931</v>
      </c>
      <c r="K230" s="3">
        <f t="shared" si="35"/>
        <v>-2.4907907189239311</v>
      </c>
      <c r="L230" s="3">
        <f t="shared" si="36"/>
        <v>1.1134231041052105</v>
      </c>
      <c r="M230" s="3">
        <f t="shared" si="37"/>
        <v>1.700798596233178</v>
      </c>
      <c r="N230" s="3">
        <f t="shared" si="38"/>
        <v>-0.27394055586500432</v>
      </c>
      <c r="O230" s="3">
        <f t="shared" si="39"/>
        <v>6.1751000057035176E-2</v>
      </c>
      <c r="P230" s="3">
        <f t="shared" si="40"/>
        <v>0.51543284629976538</v>
      </c>
      <c r="Q230" s="3">
        <f t="shared" si="41"/>
        <v>-0.72449925312752961</v>
      </c>
      <c r="R230" s="3">
        <f t="shared" si="43"/>
        <v>-0.51543284629976538</v>
      </c>
    </row>
    <row r="231" spans="1:18" x14ac:dyDescent="0.3">
      <c r="A231" s="2">
        <v>227</v>
      </c>
      <c r="B231" s="2">
        <v>0</v>
      </c>
      <c r="C231" s="2">
        <v>25</v>
      </c>
      <c r="D231" s="2">
        <f t="shared" si="42"/>
        <v>625</v>
      </c>
      <c r="E231" s="2">
        <v>84.198300000000003</v>
      </c>
      <c r="F231" s="2">
        <v>176.00890000000001</v>
      </c>
      <c r="G231" s="2">
        <v>0.79381800000000002</v>
      </c>
      <c r="H231" s="2">
        <v>4</v>
      </c>
      <c r="I231" s="3">
        <f t="shared" si="33"/>
        <v>-0.49415924023173263</v>
      </c>
      <c r="J231" s="3">
        <f t="shared" si="34"/>
        <v>-0.57646527401108472</v>
      </c>
      <c r="K231" s="3">
        <f t="shared" si="35"/>
        <v>0.95060225164531098</v>
      </c>
      <c r="L231" s="3">
        <f t="shared" si="36"/>
        <v>-0.37840814435893427</v>
      </c>
      <c r="M231" s="3">
        <f t="shared" si="37"/>
        <v>1.0597363317691499</v>
      </c>
      <c r="N231" s="3">
        <f t="shared" si="38"/>
        <v>0.31391471423157125</v>
      </c>
      <c r="O231" s="3">
        <f t="shared" si="39"/>
        <v>7.4854108307111228E-2</v>
      </c>
      <c r="P231" s="3">
        <f t="shared" si="40"/>
        <v>0.5187047940977958</v>
      </c>
      <c r="Q231" s="3">
        <f t="shared" si="41"/>
        <v>-0.73127446344945468</v>
      </c>
      <c r="R231" s="3">
        <f t="shared" si="43"/>
        <v>-0.5187047940977958</v>
      </c>
    </row>
    <row r="232" spans="1:18" x14ac:dyDescent="0.3">
      <c r="A232" s="2">
        <v>228</v>
      </c>
      <c r="B232" s="2">
        <v>1</v>
      </c>
      <c r="C232" s="2">
        <v>24</v>
      </c>
      <c r="D232" s="2">
        <f t="shared" si="42"/>
        <v>576</v>
      </c>
      <c r="E232" s="2">
        <v>78.138599999999997</v>
      </c>
      <c r="F232" s="2">
        <v>173.471</v>
      </c>
      <c r="G232" s="2">
        <v>0.65942299999999998</v>
      </c>
      <c r="H232" s="2">
        <v>4</v>
      </c>
      <c r="I232" s="3">
        <f t="shared" si="33"/>
        <v>-0.64710236627064699</v>
      </c>
      <c r="J232" s="3">
        <f t="shared" si="34"/>
        <v>-0.70803114790099997</v>
      </c>
      <c r="K232" s="3">
        <f t="shared" si="35"/>
        <v>0.3380548434443012</v>
      </c>
      <c r="L232" s="3">
        <f t="shared" si="36"/>
        <v>-0.63504890771435396</v>
      </c>
      <c r="M232" s="3">
        <f t="shared" si="37"/>
        <v>0.59012647777953309</v>
      </c>
      <c r="N232" s="3">
        <f t="shared" si="38"/>
        <v>0.31391471423157125</v>
      </c>
      <c r="O232" s="3">
        <f t="shared" si="39"/>
        <v>7.0469662286501769E-2</v>
      </c>
      <c r="P232" s="3">
        <f t="shared" si="40"/>
        <v>0.51761012855570065</v>
      </c>
      <c r="Q232" s="3">
        <f t="shared" si="41"/>
        <v>-0.65853296767990799</v>
      </c>
      <c r="R232" s="3">
        <f t="shared" si="43"/>
        <v>0.48238987144429935</v>
      </c>
    </row>
    <row r="233" spans="1:18" x14ac:dyDescent="0.3">
      <c r="A233" s="2">
        <v>229</v>
      </c>
      <c r="B233" s="2">
        <v>0</v>
      </c>
      <c r="C233" s="2">
        <v>35</v>
      </c>
      <c r="D233" s="2">
        <f t="shared" si="42"/>
        <v>1225</v>
      </c>
      <c r="E233" s="2">
        <v>58.181800000000003</v>
      </c>
      <c r="F233" s="2">
        <v>166.22300000000001</v>
      </c>
      <c r="G233" s="2">
        <v>0.57780699999999996</v>
      </c>
      <c r="H233" s="2">
        <v>5</v>
      </c>
      <c r="I233" s="3">
        <f t="shared" si="33"/>
        <v>1.0352720201574113</v>
      </c>
      <c r="J233" s="3">
        <f t="shared" si="34"/>
        <v>1.034545426681756</v>
      </c>
      <c r="K233" s="3">
        <f t="shared" si="35"/>
        <v>-1.679286958292731</v>
      </c>
      <c r="L233" s="3">
        <f t="shared" si="36"/>
        <v>-1.3679904155752127</v>
      </c>
      <c r="M233" s="3">
        <f t="shared" si="37"/>
        <v>0.30493969372345536</v>
      </c>
      <c r="N233" s="3">
        <f t="shared" si="38"/>
        <v>0.90176998432814681</v>
      </c>
      <c r="O233" s="3">
        <f t="shared" si="39"/>
        <v>-0.19734161329341376</v>
      </c>
      <c r="P233" s="3">
        <f t="shared" si="40"/>
        <v>0.45082408424787551</v>
      </c>
      <c r="Q233" s="3">
        <f t="shared" si="41"/>
        <v>-0.59933645937815738</v>
      </c>
      <c r="R233" s="3">
        <f t="shared" si="43"/>
        <v>-0.45082408424787551</v>
      </c>
    </row>
    <row r="234" spans="1:18" x14ac:dyDescent="0.3">
      <c r="A234" s="2">
        <v>230</v>
      </c>
      <c r="B234" s="2">
        <v>1</v>
      </c>
      <c r="C234" s="2">
        <v>25</v>
      </c>
      <c r="D234" s="2">
        <f t="shared" si="42"/>
        <v>625</v>
      </c>
      <c r="E234" s="2">
        <v>57.414000000000001</v>
      </c>
      <c r="F234" s="2">
        <v>161.42009999999999</v>
      </c>
      <c r="G234" s="2">
        <v>0.86610200000000004</v>
      </c>
      <c r="H234" s="2">
        <v>2</v>
      </c>
      <c r="I234" s="3">
        <f t="shared" si="33"/>
        <v>-0.49415924023173263</v>
      </c>
      <c r="J234" s="3">
        <f t="shared" si="34"/>
        <v>-0.57646527401108472</v>
      </c>
      <c r="K234" s="3">
        <f t="shared" si="35"/>
        <v>-1.7569003549982998</v>
      </c>
      <c r="L234" s="3">
        <f t="shared" si="36"/>
        <v>-1.8536754001371527</v>
      </c>
      <c r="M234" s="3">
        <f t="shared" si="37"/>
        <v>1.3123147661289509</v>
      </c>
      <c r="N234" s="3">
        <f t="shared" si="38"/>
        <v>-0.86179582596158</v>
      </c>
      <c r="O234" s="3">
        <f t="shared" si="39"/>
        <v>-0.13118110595210528</v>
      </c>
      <c r="P234" s="3">
        <f t="shared" si="40"/>
        <v>0.46725167246688931</v>
      </c>
      <c r="Q234" s="3">
        <f t="shared" si="41"/>
        <v>-0.76088725326948015</v>
      </c>
      <c r="R234" s="3">
        <f t="shared" si="43"/>
        <v>0.53274832753311063</v>
      </c>
    </row>
    <row r="235" spans="1:18" x14ac:dyDescent="0.3">
      <c r="A235" s="2">
        <v>231</v>
      </c>
      <c r="B235" s="2">
        <v>0</v>
      </c>
      <c r="C235" s="2">
        <v>18</v>
      </c>
      <c r="D235" s="2">
        <f t="shared" si="42"/>
        <v>324</v>
      </c>
      <c r="E235" s="2">
        <v>66.273700000000005</v>
      </c>
      <c r="F235" s="2">
        <v>188.3135</v>
      </c>
      <c r="G235" s="2">
        <v>0.28943999999999998</v>
      </c>
      <c r="H235" s="2">
        <v>3</v>
      </c>
      <c r="I235" s="3">
        <f t="shared" si="33"/>
        <v>-1.5647611225041334</v>
      </c>
      <c r="J235" s="3">
        <f t="shared" si="34"/>
        <v>-1.3846556421919931</v>
      </c>
      <c r="K235" s="3">
        <f t="shared" si="35"/>
        <v>-0.86131372984548993</v>
      </c>
      <c r="L235" s="3">
        <f t="shared" si="36"/>
        <v>0.86587332330452205</v>
      </c>
      <c r="M235" s="3">
        <f t="shared" si="37"/>
        <v>-0.70268696474913495</v>
      </c>
      <c r="N235" s="3">
        <f t="shared" si="38"/>
        <v>-0.27394055586500432</v>
      </c>
      <c r="O235" s="3">
        <f t="shared" si="39"/>
        <v>0.26498912681459613</v>
      </c>
      <c r="P235" s="3">
        <f t="shared" si="40"/>
        <v>0.56586233176725553</v>
      </c>
      <c r="Q235" s="3">
        <f t="shared" si="41"/>
        <v>-0.83439358727197499</v>
      </c>
      <c r="R235" s="3">
        <f t="shared" si="43"/>
        <v>-0.56586233176725553</v>
      </c>
    </row>
    <row r="236" spans="1:18" x14ac:dyDescent="0.3">
      <c r="A236" s="2">
        <v>232</v>
      </c>
      <c r="B236" s="2">
        <v>0</v>
      </c>
      <c r="C236" s="2">
        <v>28</v>
      </c>
      <c r="D236" s="2">
        <f t="shared" si="42"/>
        <v>784</v>
      </c>
      <c r="E236" s="2">
        <v>82.936599999999999</v>
      </c>
      <c r="F236" s="2">
        <v>178.18520000000001</v>
      </c>
      <c r="G236" s="2">
        <v>0.46768100000000001</v>
      </c>
      <c r="H236" s="2">
        <v>2</v>
      </c>
      <c r="I236" s="3">
        <f t="shared" si="33"/>
        <v>-3.5329862114989473E-2</v>
      </c>
      <c r="J236" s="3">
        <f t="shared" si="34"/>
        <v>-0.14954743832748191</v>
      </c>
      <c r="K236" s="3">
        <f t="shared" si="35"/>
        <v>0.82306275877813662</v>
      </c>
      <c r="L236" s="3">
        <f t="shared" si="36"/>
        <v>-0.15833355777538191</v>
      </c>
      <c r="M236" s="3">
        <f t="shared" si="37"/>
        <v>-7.9868184400436901E-2</v>
      </c>
      <c r="N236" s="3">
        <f t="shared" si="38"/>
        <v>-0.86179582596158</v>
      </c>
      <c r="O236" s="3">
        <f t="shared" si="39"/>
        <v>8.3885508012252585E-2</v>
      </c>
      <c r="P236" s="3">
        <f t="shared" si="40"/>
        <v>0.52095908807261748</v>
      </c>
      <c r="Q236" s="3">
        <f t="shared" si="41"/>
        <v>-0.7359692740966598</v>
      </c>
      <c r="R236" s="3">
        <f t="shared" si="43"/>
        <v>-0.52095908807261748</v>
      </c>
    </row>
    <row r="237" spans="1:18" x14ac:dyDescent="0.3">
      <c r="A237" s="2">
        <v>233</v>
      </c>
      <c r="B237" s="2">
        <v>1</v>
      </c>
      <c r="C237" s="2">
        <v>35</v>
      </c>
      <c r="D237" s="2">
        <f t="shared" si="42"/>
        <v>1225</v>
      </c>
      <c r="E237" s="2">
        <v>71.996399999999994</v>
      </c>
      <c r="F237" s="2">
        <v>187.72020000000001</v>
      </c>
      <c r="G237" s="2">
        <v>0.61939</v>
      </c>
      <c r="H237" s="2">
        <v>6</v>
      </c>
      <c r="I237" s="3">
        <f t="shared" si="33"/>
        <v>1.0352720201574113</v>
      </c>
      <c r="J237" s="3">
        <f t="shared" si="34"/>
        <v>1.034545426681756</v>
      </c>
      <c r="K237" s="3">
        <f t="shared" si="35"/>
        <v>-0.28283211311332368</v>
      </c>
      <c r="L237" s="3">
        <f t="shared" si="36"/>
        <v>0.80587688337435537</v>
      </c>
      <c r="M237" s="3">
        <f t="shared" si="37"/>
        <v>0.45024113022369899</v>
      </c>
      <c r="N237" s="3">
        <f t="shared" si="38"/>
        <v>1.4896252544247224</v>
      </c>
      <c r="O237" s="3">
        <f t="shared" si="39"/>
        <v>-6.9777413432087321E-2</v>
      </c>
      <c r="P237" s="3">
        <f t="shared" si="40"/>
        <v>0.48256272108025927</v>
      </c>
      <c r="Q237" s="3">
        <f t="shared" si="41"/>
        <v>-0.72864437477512323</v>
      </c>
      <c r="R237" s="3">
        <f t="shared" si="43"/>
        <v>0.51743727891974078</v>
      </c>
    </row>
    <row r="238" spans="1:18" x14ac:dyDescent="0.3">
      <c r="A238" s="2">
        <v>234</v>
      </c>
      <c r="B238" s="2">
        <v>0</v>
      </c>
      <c r="C238" s="2">
        <v>27</v>
      </c>
      <c r="D238" s="2">
        <f t="shared" si="42"/>
        <v>729</v>
      </c>
      <c r="E238" s="2">
        <v>66.952100000000002</v>
      </c>
      <c r="F238" s="2">
        <v>195.31319999999999</v>
      </c>
      <c r="G238" s="2">
        <v>0.41119</v>
      </c>
      <c r="H238" s="2">
        <v>4</v>
      </c>
      <c r="I238" s="3">
        <f t="shared" si="33"/>
        <v>-0.18827298815390386</v>
      </c>
      <c r="J238" s="3">
        <f t="shared" si="34"/>
        <v>-0.29722341922432566</v>
      </c>
      <c r="K238" s="3">
        <f t="shared" si="35"/>
        <v>-0.79273737099545405</v>
      </c>
      <c r="L238" s="3">
        <f t="shared" si="36"/>
        <v>1.5737059216176641</v>
      </c>
      <c r="M238" s="3">
        <f t="shared" si="37"/>
        <v>-0.27726191379310361</v>
      </c>
      <c r="N238" s="3">
        <f t="shared" si="38"/>
        <v>0.31391471423157125</v>
      </c>
      <c r="O238" s="3">
        <f t="shared" si="39"/>
        <v>2.5482768261818868E-2</v>
      </c>
      <c r="P238" s="3">
        <f t="shared" si="40"/>
        <v>0.50637034734236297</v>
      </c>
      <c r="Q238" s="3">
        <f t="shared" si="41"/>
        <v>-0.70596973392946816</v>
      </c>
      <c r="R238" s="3">
        <f t="shared" si="43"/>
        <v>-0.50637034734236297</v>
      </c>
    </row>
    <row r="239" spans="1:18" x14ac:dyDescent="0.3">
      <c r="A239" s="2">
        <v>235</v>
      </c>
      <c r="B239" s="2">
        <v>0</v>
      </c>
      <c r="C239" s="2">
        <v>20</v>
      </c>
      <c r="D239" s="2">
        <f t="shared" si="42"/>
        <v>400</v>
      </c>
      <c r="E239" s="2">
        <v>64.938800000000001</v>
      </c>
      <c r="F239" s="2">
        <v>189.21250000000001</v>
      </c>
      <c r="G239" s="2">
        <v>0.42748599999999998</v>
      </c>
      <c r="H239" s="2">
        <v>6</v>
      </c>
      <c r="I239" s="3">
        <f t="shared" si="33"/>
        <v>-1.2588748704263044</v>
      </c>
      <c r="J239" s="3">
        <f t="shared" si="34"/>
        <v>-1.1805942867708998</v>
      </c>
      <c r="K239" s="3">
        <f t="shared" si="35"/>
        <v>-0.99625267652726124</v>
      </c>
      <c r="L239" s="3">
        <f t="shared" si="36"/>
        <v>0.95678314885183346</v>
      </c>
      <c r="M239" s="3">
        <f t="shared" si="37"/>
        <v>-0.22031960060723521</v>
      </c>
      <c r="N239" s="3">
        <f t="shared" si="38"/>
        <v>1.4896252544247224</v>
      </c>
      <c r="O239" s="3">
        <f t="shared" si="39"/>
        <v>0.14624889775758118</v>
      </c>
      <c r="P239" s="3">
        <f t="shared" si="40"/>
        <v>0.53649719519888683</v>
      </c>
      <c r="Q239" s="3">
        <f t="shared" si="41"/>
        <v>-0.76894284264369905</v>
      </c>
      <c r="R239" s="3">
        <f t="shared" si="43"/>
        <v>-0.53649719519888683</v>
      </c>
    </row>
    <row r="240" spans="1:18" x14ac:dyDescent="0.3">
      <c r="A240" s="2">
        <v>236</v>
      </c>
      <c r="B240" s="2">
        <v>0</v>
      </c>
      <c r="C240" s="2">
        <v>24</v>
      </c>
      <c r="D240" s="2">
        <f t="shared" si="42"/>
        <v>576</v>
      </c>
      <c r="E240" s="2">
        <v>64.490899999999996</v>
      </c>
      <c r="F240" s="2">
        <v>174.5763</v>
      </c>
      <c r="G240" s="2">
        <v>0.330285</v>
      </c>
      <c r="H240" s="2">
        <v>1</v>
      </c>
      <c r="I240" s="3">
        <f t="shared" si="33"/>
        <v>-0.64710236627064699</v>
      </c>
      <c r="J240" s="3">
        <f t="shared" si="34"/>
        <v>-0.70803114790099997</v>
      </c>
      <c r="K240" s="3">
        <f t="shared" si="35"/>
        <v>-1.0415288426960871</v>
      </c>
      <c r="L240" s="3">
        <f t="shared" si="36"/>
        <v>-0.52327735023110222</v>
      </c>
      <c r="M240" s="3">
        <f t="shared" si="37"/>
        <v>-0.55996428543661669</v>
      </c>
      <c r="N240" s="3">
        <f t="shared" si="38"/>
        <v>-1.4496510960581555</v>
      </c>
      <c r="O240" s="3">
        <f t="shared" si="39"/>
        <v>5.6087981865278851E-2</v>
      </c>
      <c r="P240" s="3">
        <f t="shared" si="40"/>
        <v>0.51401832068413178</v>
      </c>
      <c r="Q240" s="3">
        <f t="shared" si="41"/>
        <v>-0.72158435267311816</v>
      </c>
      <c r="R240" s="3">
        <f t="shared" si="43"/>
        <v>-0.51401832068413178</v>
      </c>
    </row>
    <row r="241" spans="1:18" x14ac:dyDescent="0.3">
      <c r="A241" s="2">
        <v>237</v>
      </c>
      <c r="B241" s="2">
        <v>1</v>
      </c>
      <c r="C241" s="2">
        <v>33</v>
      </c>
      <c r="D241" s="2">
        <f t="shared" si="42"/>
        <v>1089</v>
      </c>
      <c r="E241" s="2">
        <v>55.663200000000003</v>
      </c>
      <c r="F241" s="2">
        <v>181.4487</v>
      </c>
      <c r="G241" s="2">
        <v>0.56423199999999996</v>
      </c>
      <c r="H241" s="2">
        <v>4</v>
      </c>
      <c r="I241" s="3">
        <f t="shared" si="33"/>
        <v>0.72938576807958244</v>
      </c>
      <c r="J241" s="3">
        <f t="shared" si="34"/>
        <v>0.66938300119137872</v>
      </c>
      <c r="K241" s="3">
        <f t="shared" si="35"/>
        <v>-1.9338807339408755</v>
      </c>
      <c r="L241" s="3">
        <f t="shared" si="36"/>
        <v>0.171682254987299</v>
      </c>
      <c r="M241" s="3">
        <f t="shared" si="37"/>
        <v>0.25750523732322433</v>
      </c>
      <c r="N241" s="3">
        <f t="shared" si="38"/>
        <v>0.31391471423157125</v>
      </c>
      <c r="O241" s="3">
        <f t="shared" si="39"/>
        <v>-0.16499072324603711</v>
      </c>
      <c r="P241" s="3">
        <f t="shared" si="40"/>
        <v>0.45884563532551448</v>
      </c>
      <c r="Q241" s="3">
        <f t="shared" si="41"/>
        <v>-0.77904143196565911</v>
      </c>
      <c r="R241" s="3">
        <f t="shared" si="43"/>
        <v>0.54115436467448552</v>
      </c>
    </row>
    <row r="242" spans="1:18" x14ac:dyDescent="0.3">
      <c r="A242" s="2">
        <v>238</v>
      </c>
      <c r="B242" s="2">
        <v>0</v>
      </c>
      <c r="C242" s="2">
        <v>33</v>
      </c>
      <c r="D242" s="2">
        <f t="shared" si="42"/>
        <v>1089</v>
      </c>
      <c r="E242" s="2">
        <v>62.926000000000002</v>
      </c>
      <c r="F242" s="2">
        <v>173.85230000000001</v>
      </c>
      <c r="G242" s="2">
        <v>0.85057499999999997</v>
      </c>
      <c r="H242" s="2">
        <v>2</v>
      </c>
      <c r="I242" s="3">
        <f t="shared" si="33"/>
        <v>0.72938576807958244</v>
      </c>
      <c r="J242" s="3">
        <f t="shared" si="34"/>
        <v>0.66938300119137872</v>
      </c>
      <c r="K242" s="3">
        <f t="shared" si="35"/>
        <v>-1.1997174393417553</v>
      </c>
      <c r="L242" s="3">
        <f t="shared" si="36"/>
        <v>-0.59649060239601048</v>
      </c>
      <c r="M242" s="3">
        <f t="shared" si="37"/>
        <v>1.2580595319096957</v>
      </c>
      <c r="N242" s="3">
        <f t="shared" si="38"/>
        <v>-0.86179582596158</v>
      </c>
      <c r="O242" s="3">
        <f t="shared" si="39"/>
        <v>-0.1607941398030906</v>
      </c>
      <c r="P242" s="3">
        <f t="shared" si="40"/>
        <v>0.45988785197883914</v>
      </c>
      <c r="Q242" s="3">
        <f t="shared" si="41"/>
        <v>-0.6159784794659704</v>
      </c>
      <c r="R242" s="3">
        <f t="shared" si="43"/>
        <v>-0.45988785197883914</v>
      </c>
    </row>
    <row r="243" spans="1:18" x14ac:dyDescent="0.3">
      <c r="A243" s="2">
        <v>239</v>
      </c>
      <c r="B243" s="2">
        <v>0</v>
      </c>
      <c r="C243" s="2">
        <v>37</v>
      </c>
      <c r="D243" s="2">
        <f t="shared" si="42"/>
        <v>1369</v>
      </c>
      <c r="E243" s="2">
        <v>64.294200000000004</v>
      </c>
      <c r="F243" s="2">
        <v>172.9171</v>
      </c>
      <c r="G243" s="2">
        <v>0.20152800000000001</v>
      </c>
      <c r="H243" s="2">
        <v>4</v>
      </c>
      <c r="I243" s="3">
        <f t="shared" si="33"/>
        <v>1.34115827223524</v>
      </c>
      <c r="J243" s="3">
        <f t="shared" si="34"/>
        <v>1.4211879948480377</v>
      </c>
      <c r="K243" s="3">
        <f t="shared" si="35"/>
        <v>-1.0614123476869504</v>
      </c>
      <c r="L243" s="3">
        <f t="shared" si="36"/>
        <v>-0.69106109055156828</v>
      </c>
      <c r="M243" s="3">
        <f t="shared" si="37"/>
        <v>-1.0098735526723106</v>
      </c>
      <c r="N243" s="3">
        <f t="shared" si="38"/>
        <v>0.31391471423157125</v>
      </c>
      <c r="O243" s="3">
        <f t="shared" si="39"/>
        <v>-7.1705532676912889E-2</v>
      </c>
      <c r="P243" s="3">
        <f t="shared" si="40"/>
        <v>0.48208129386576248</v>
      </c>
      <c r="Q243" s="3">
        <f t="shared" si="41"/>
        <v>-0.65793698700349745</v>
      </c>
      <c r="R243" s="3">
        <f t="shared" si="43"/>
        <v>-0.48208129386576248</v>
      </c>
    </row>
    <row r="244" spans="1:18" x14ac:dyDescent="0.3">
      <c r="A244" s="2">
        <v>240</v>
      </c>
      <c r="B244" s="2">
        <v>1</v>
      </c>
      <c r="C244" s="2">
        <v>34</v>
      </c>
      <c r="D244" s="2">
        <f t="shared" si="42"/>
        <v>1156</v>
      </c>
      <c r="E244" s="2">
        <v>81.8262</v>
      </c>
      <c r="F244" s="2">
        <v>183.4282</v>
      </c>
      <c r="G244" s="2">
        <v>0.93443299999999996</v>
      </c>
      <c r="H244" s="2">
        <v>1</v>
      </c>
      <c r="I244" s="3">
        <f t="shared" si="33"/>
        <v>0.8823288941184968</v>
      </c>
      <c r="J244" s="3">
        <f t="shared" si="34"/>
        <v>0.84927919610207925</v>
      </c>
      <c r="K244" s="3">
        <f t="shared" si="35"/>
        <v>0.71081749216982282</v>
      </c>
      <c r="L244" s="3">
        <f t="shared" si="36"/>
        <v>0.3718557807613847</v>
      </c>
      <c r="M244" s="3">
        <f t="shared" si="37"/>
        <v>1.5510804265550415</v>
      </c>
      <c r="N244" s="3">
        <f t="shared" si="38"/>
        <v>-1.4496510960581555</v>
      </c>
      <c r="O244" s="3">
        <f t="shared" si="39"/>
        <v>-1.9986278977763818E-2</v>
      </c>
      <c r="P244" s="3">
        <f t="shared" si="40"/>
        <v>0.49500359657279192</v>
      </c>
      <c r="Q244" s="3">
        <f t="shared" si="41"/>
        <v>-0.70319025063622254</v>
      </c>
      <c r="R244" s="3">
        <f t="shared" si="43"/>
        <v>0.50499640342720808</v>
      </c>
    </row>
    <row r="245" spans="1:18" x14ac:dyDescent="0.3">
      <c r="A245" s="2">
        <v>241</v>
      </c>
      <c r="B245" s="2">
        <v>0</v>
      </c>
      <c r="C245" s="2">
        <v>19</v>
      </c>
      <c r="D245" s="2">
        <f t="shared" si="42"/>
        <v>361</v>
      </c>
      <c r="E245" s="2">
        <v>73.342799999999997</v>
      </c>
      <c r="F245" s="2">
        <v>171.6771</v>
      </c>
      <c r="G245" s="2">
        <v>0.68908800000000003</v>
      </c>
      <c r="H245" s="2">
        <v>5</v>
      </c>
      <c r="I245" s="3">
        <f t="shared" si="33"/>
        <v>-1.4118179964652189</v>
      </c>
      <c r="J245" s="3">
        <f t="shared" si="34"/>
        <v>-1.2853099823159346</v>
      </c>
      <c r="K245" s="3">
        <f t="shared" si="35"/>
        <v>-0.14673068393335761</v>
      </c>
      <c r="L245" s="3">
        <f t="shared" si="36"/>
        <v>-0.81645395337544702</v>
      </c>
      <c r="M245" s="3">
        <f t="shared" si="37"/>
        <v>0.69378343167366607</v>
      </c>
      <c r="N245" s="3">
        <f t="shared" si="38"/>
        <v>0.90176998432814681</v>
      </c>
      <c r="O245" s="3">
        <f t="shared" si="39"/>
        <v>0.16258040301686416</v>
      </c>
      <c r="P245" s="3">
        <f t="shared" si="40"/>
        <v>0.54055580784835289</v>
      </c>
      <c r="Q245" s="3">
        <f t="shared" si="41"/>
        <v>-0.77773779798651377</v>
      </c>
      <c r="R245" s="3">
        <f t="shared" si="43"/>
        <v>-0.54055580784835289</v>
      </c>
    </row>
    <row r="246" spans="1:18" x14ac:dyDescent="0.3">
      <c r="A246" s="2">
        <v>242</v>
      </c>
      <c r="B246" s="2">
        <v>0</v>
      </c>
      <c r="C246" s="2">
        <v>18</v>
      </c>
      <c r="D246" s="2">
        <f t="shared" si="42"/>
        <v>324</v>
      </c>
      <c r="E246" s="2">
        <v>66.744200000000006</v>
      </c>
      <c r="F246" s="2">
        <v>157.9085</v>
      </c>
      <c r="G246" s="2">
        <v>0.82327300000000003</v>
      </c>
      <c r="H246" s="2">
        <v>6</v>
      </c>
      <c r="I246" s="3">
        <f t="shared" si="33"/>
        <v>-1.5647611225041334</v>
      </c>
      <c r="J246" s="3">
        <f t="shared" si="34"/>
        <v>-1.3846556421919931</v>
      </c>
      <c r="K246" s="3">
        <f t="shared" si="35"/>
        <v>-0.8137530328541247</v>
      </c>
      <c r="L246" s="3">
        <f t="shared" si="36"/>
        <v>-2.2087798977922555</v>
      </c>
      <c r="M246" s="3">
        <f t="shared" si="37"/>
        <v>1.1626594929675886</v>
      </c>
      <c r="N246" s="3">
        <f t="shared" si="38"/>
        <v>1.4896252544247224</v>
      </c>
      <c r="O246" s="3">
        <f t="shared" si="39"/>
        <v>9.2971047060260159E-2</v>
      </c>
      <c r="P246" s="3">
        <f t="shared" si="40"/>
        <v>0.52322603443188165</v>
      </c>
      <c r="Q246" s="3">
        <f t="shared" si="41"/>
        <v>-0.74071276713762235</v>
      </c>
      <c r="R246" s="3">
        <f t="shared" si="43"/>
        <v>-0.52322603443188165</v>
      </c>
    </row>
    <row r="247" spans="1:18" x14ac:dyDescent="0.3">
      <c r="A247" s="2">
        <v>243</v>
      </c>
      <c r="B247" s="2">
        <v>0</v>
      </c>
      <c r="C247" s="2">
        <v>33</v>
      </c>
      <c r="D247" s="2">
        <f t="shared" si="42"/>
        <v>1089</v>
      </c>
      <c r="E247" s="2">
        <v>98.097200000000001</v>
      </c>
      <c r="F247" s="2">
        <v>171.11850000000001</v>
      </c>
      <c r="G247" s="2">
        <v>0.55619099999999999</v>
      </c>
      <c r="H247" s="2">
        <v>6</v>
      </c>
      <c r="I247" s="3">
        <f t="shared" si="33"/>
        <v>0.72938576807958244</v>
      </c>
      <c r="J247" s="3">
        <f t="shared" si="34"/>
        <v>0.66938300119137872</v>
      </c>
      <c r="K247" s="3">
        <f t="shared" si="35"/>
        <v>2.3555785989636608</v>
      </c>
      <c r="L247" s="3">
        <f t="shared" si="36"/>
        <v>-0.87294141561207295</v>
      </c>
      <c r="M247" s="3">
        <f t="shared" si="37"/>
        <v>0.22940796558000107</v>
      </c>
      <c r="N247" s="3">
        <f t="shared" si="38"/>
        <v>1.4896252544247224</v>
      </c>
      <c r="O247" s="3">
        <f t="shared" si="39"/>
        <v>7.6807971444463302E-2</v>
      </c>
      <c r="P247" s="3">
        <f t="shared" si="40"/>
        <v>0.51919255830406186</v>
      </c>
      <c r="Q247" s="3">
        <f t="shared" si="41"/>
        <v>-0.73228841814394197</v>
      </c>
      <c r="R247" s="3">
        <f t="shared" si="43"/>
        <v>-0.51919255830406186</v>
      </c>
    </row>
    <row r="248" spans="1:18" x14ac:dyDescent="0.3">
      <c r="A248" s="2">
        <v>244</v>
      </c>
      <c r="B248" s="2">
        <v>0</v>
      </c>
      <c r="C248" s="2">
        <v>29</v>
      </c>
      <c r="D248" s="2">
        <f t="shared" si="42"/>
        <v>841</v>
      </c>
      <c r="E248" s="2">
        <v>68.361000000000004</v>
      </c>
      <c r="F248" s="2">
        <v>176.93119999999999</v>
      </c>
      <c r="G248" s="2">
        <v>0.77951700000000002</v>
      </c>
      <c r="H248" s="2">
        <v>2</v>
      </c>
      <c r="I248" s="3">
        <f t="shared" si="33"/>
        <v>0.1176132639239249</v>
      </c>
      <c r="J248" s="3">
        <f t="shared" si="34"/>
        <v>3.4985782383379449E-3</v>
      </c>
      <c r="K248" s="3">
        <f t="shared" si="35"/>
        <v>-0.6503181021513853</v>
      </c>
      <c r="L248" s="3">
        <f t="shared" si="36"/>
        <v>-0.28514214646985381</v>
      </c>
      <c r="M248" s="3">
        <f t="shared" si="37"/>
        <v>1.0097650491923762</v>
      </c>
      <c r="N248" s="3">
        <f t="shared" si="38"/>
        <v>-0.86179582596158</v>
      </c>
      <c r="O248" s="3">
        <f t="shared" si="39"/>
        <v>-7.5217981036977521E-2</v>
      </c>
      <c r="P248" s="3">
        <f t="shared" si="40"/>
        <v>0.4812043656469191</v>
      </c>
      <c r="Q248" s="3">
        <f t="shared" si="41"/>
        <v>-0.65624524146908392</v>
      </c>
      <c r="R248" s="3">
        <f t="shared" si="43"/>
        <v>-0.4812043656469191</v>
      </c>
    </row>
    <row r="249" spans="1:18" x14ac:dyDescent="0.3">
      <c r="A249" s="2">
        <v>245</v>
      </c>
      <c r="B249" s="2">
        <v>0</v>
      </c>
      <c r="C249" s="2">
        <v>22</v>
      </c>
      <c r="D249" s="2">
        <f t="shared" si="42"/>
        <v>484</v>
      </c>
      <c r="E249" s="2">
        <v>86.671000000000006</v>
      </c>
      <c r="F249" s="2">
        <v>195.214</v>
      </c>
      <c r="G249" s="2">
        <v>1.6199999999999999E-2</v>
      </c>
      <c r="H249" s="2">
        <v>4</v>
      </c>
      <c r="I249" s="3">
        <f t="shared" si="33"/>
        <v>-0.9529886183484757</v>
      </c>
      <c r="J249" s="3">
        <f t="shared" si="34"/>
        <v>-0.9550527886739022</v>
      </c>
      <c r="K249" s="3">
        <f t="shared" si="35"/>
        <v>1.2005562058441388</v>
      </c>
      <c r="L249" s="3">
        <f t="shared" si="36"/>
        <v>1.5636744925917541</v>
      </c>
      <c r="M249" s="3">
        <f t="shared" si="37"/>
        <v>-1.657456089375221</v>
      </c>
      <c r="N249" s="3">
        <f t="shared" si="38"/>
        <v>0.31391471423157125</v>
      </c>
      <c r="O249" s="3">
        <f t="shared" si="39"/>
        <v>0.3234041326641684</v>
      </c>
      <c r="P249" s="3">
        <f t="shared" si="40"/>
        <v>0.58015364060403174</v>
      </c>
      <c r="Q249" s="3">
        <f t="shared" si="41"/>
        <v>-0.86786644559185511</v>
      </c>
      <c r="R249" s="3">
        <f t="shared" si="43"/>
        <v>-0.58015364060403174</v>
      </c>
    </row>
    <row r="250" spans="1:18" x14ac:dyDescent="0.3">
      <c r="A250" s="2">
        <v>246</v>
      </c>
      <c r="B250" s="2">
        <v>1</v>
      </c>
      <c r="C250" s="2">
        <v>22</v>
      </c>
      <c r="D250" s="2">
        <f t="shared" si="42"/>
        <v>484</v>
      </c>
      <c r="E250" s="2">
        <v>91.211100000000002</v>
      </c>
      <c r="F250" s="2">
        <v>175.09059999999999</v>
      </c>
      <c r="G250" s="2">
        <v>0.81838</v>
      </c>
      <c r="H250" s="2">
        <v>2</v>
      </c>
      <c r="I250" s="3">
        <f t="shared" si="33"/>
        <v>-0.9529886183484757</v>
      </c>
      <c r="J250" s="3">
        <f t="shared" si="34"/>
        <v>-0.9550527886739022</v>
      </c>
      <c r="K250" s="3">
        <f t="shared" si="35"/>
        <v>1.6594941875880203</v>
      </c>
      <c r="L250" s="3">
        <f t="shared" si="36"/>
        <v>-0.47126964914213509</v>
      </c>
      <c r="M250" s="3">
        <f t="shared" si="37"/>
        <v>1.1455621231579141</v>
      </c>
      <c r="N250" s="3">
        <f t="shared" si="38"/>
        <v>-0.86179582596158</v>
      </c>
      <c r="O250" s="3">
        <f t="shared" si="39"/>
        <v>0.20358983543682801</v>
      </c>
      <c r="P250" s="3">
        <f t="shared" si="40"/>
        <v>0.55072238119416794</v>
      </c>
      <c r="Q250" s="3">
        <f t="shared" si="41"/>
        <v>-0.59652444218459422</v>
      </c>
      <c r="R250" s="3">
        <f t="shared" si="43"/>
        <v>0.44927761880583206</v>
      </c>
    </row>
    <row r="251" spans="1:18" x14ac:dyDescent="0.3">
      <c r="A251" s="2">
        <v>247</v>
      </c>
      <c r="B251" s="2">
        <v>1</v>
      </c>
      <c r="C251" s="2">
        <v>26</v>
      </c>
      <c r="D251" s="2">
        <f t="shared" si="42"/>
        <v>676</v>
      </c>
      <c r="E251" s="2">
        <v>59.300400000000003</v>
      </c>
      <c r="F251" s="2">
        <v>185.11920000000001</v>
      </c>
      <c r="G251" s="2">
        <v>4.0139000000000001E-2</v>
      </c>
      <c r="H251" s="2">
        <v>5</v>
      </c>
      <c r="I251" s="3">
        <f t="shared" si="33"/>
        <v>-0.34121611419281822</v>
      </c>
      <c r="J251" s="3">
        <f t="shared" si="34"/>
        <v>-0.43952936445219321</v>
      </c>
      <c r="K251" s="3">
        <f t="shared" si="35"/>
        <v>-1.5662127911204866</v>
      </c>
      <c r="L251" s="3">
        <f t="shared" si="36"/>
        <v>0.54285524127362472</v>
      </c>
      <c r="M251" s="3">
        <f t="shared" si="37"/>
        <v>-1.5738072163170165</v>
      </c>
      <c r="N251" s="3">
        <f t="shared" si="38"/>
        <v>0.90176998432814681</v>
      </c>
      <c r="O251" s="3">
        <f t="shared" si="39"/>
        <v>1.5299682355263938E-2</v>
      </c>
      <c r="P251" s="3">
        <f t="shared" si="40"/>
        <v>0.50382484597902222</v>
      </c>
      <c r="Q251" s="3">
        <f t="shared" si="41"/>
        <v>-0.68552659913195602</v>
      </c>
      <c r="R251" s="3">
        <f t="shared" si="43"/>
        <v>0.49617515402097778</v>
      </c>
    </row>
    <row r="252" spans="1:18" x14ac:dyDescent="0.3">
      <c r="A252" s="2">
        <v>248</v>
      </c>
      <c r="B252" s="2">
        <v>0</v>
      </c>
      <c r="C252" s="2">
        <v>26</v>
      </c>
      <c r="D252" s="2">
        <f t="shared" si="42"/>
        <v>676</v>
      </c>
      <c r="E252" s="2">
        <v>75.739599999999996</v>
      </c>
      <c r="F252" s="2">
        <v>178.3169</v>
      </c>
      <c r="G252" s="2">
        <v>0.88991299999999995</v>
      </c>
      <c r="H252" s="2">
        <v>4</v>
      </c>
      <c r="I252" s="3">
        <f t="shared" si="33"/>
        <v>-0.34121611419281822</v>
      </c>
      <c r="J252" s="3">
        <f t="shared" si="34"/>
        <v>-0.43952936445219321</v>
      </c>
      <c r="K252" s="3">
        <f t="shared" si="35"/>
        <v>9.5550885777383493E-2</v>
      </c>
      <c r="L252" s="3">
        <f t="shared" si="36"/>
        <v>-0.14501562226416895</v>
      </c>
      <c r="M252" s="3">
        <f t="shared" si="37"/>
        <v>1.3955163750678752</v>
      </c>
      <c r="N252" s="3">
        <f t="shared" si="38"/>
        <v>0.31391471423157125</v>
      </c>
      <c r="O252" s="3">
        <f t="shared" si="39"/>
        <v>-9.7010391308294253E-3</v>
      </c>
      <c r="P252" s="3">
        <f t="shared" si="40"/>
        <v>0.49757475923724581</v>
      </c>
      <c r="Q252" s="3">
        <f t="shared" si="41"/>
        <v>-0.68830842471842923</v>
      </c>
      <c r="R252" s="3">
        <f t="shared" si="43"/>
        <v>-0.49757475923724581</v>
      </c>
    </row>
    <row r="253" spans="1:18" x14ac:dyDescent="0.3">
      <c r="A253" s="2">
        <v>249</v>
      </c>
      <c r="B253" s="2">
        <v>0</v>
      </c>
      <c r="C253" s="2">
        <v>20</v>
      </c>
      <c r="D253" s="2">
        <f t="shared" si="42"/>
        <v>400</v>
      </c>
      <c r="E253" s="2">
        <v>69.824700000000007</v>
      </c>
      <c r="F253" s="2">
        <v>192.26410000000001</v>
      </c>
      <c r="G253" s="2">
        <v>0.99196300000000004</v>
      </c>
      <c r="H253" s="2">
        <v>4</v>
      </c>
      <c r="I253" s="3">
        <f t="shared" si="33"/>
        <v>-1.2588748704263044</v>
      </c>
      <c r="J253" s="3">
        <f t="shared" si="34"/>
        <v>-1.1805942867708998</v>
      </c>
      <c r="K253" s="3">
        <f t="shared" si="35"/>
        <v>-0.50235935148983135</v>
      </c>
      <c r="L253" s="3">
        <f t="shared" si="36"/>
        <v>1.2653709393303387</v>
      </c>
      <c r="M253" s="3">
        <f t="shared" si="37"/>
        <v>1.7521046826659286</v>
      </c>
      <c r="N253" s="3">
        <f t="shared" si="38"/>
        <v>0.31391471423157125</v>
      </c>
      <c r="O253" s="3">
        <f t="shared" si="39"/>
        <v>0.11834640237098049</v>
      </c>
      <c r="P253" s="3">
        <f t="shared" si="40"/>
        <v>0.52955211671379299</v>
      </c>
      <c r="Q253" s="3">
        <f t="shared" si="41"/>
        <v>-0.75407009487797527</v>
      </c>
      <c r="R253" s="3">
        <f t="shared" si="43"/>
        <v>-0.52955211671379299</v>
      </c>
    </row>
    <row r="254" spans="1:18" x14ac:dyDescent="0.3">
      <c r="A254" s="2">
        <v>250</v>
      </c>
      <c r="B254" s="2">
        <v>0</v>
      </c>
      <c r="C254" s="2">
        <v>36</v>
      </c>
      <c r="D254" s="2">
        <f t="shared" si="42"/>
        <v>1296</v>
      </c>
      <c r="E254" s="2">
        <v>69.010800000000003</v>
      </c>
      <c r="F254" s="2">
        <v>191.571</v>
      </c>
      <c r="G254" s="2">
        <v>0.29406700000000002</v>
      </c>
      <c r="H254" s="2">
        <v>2</v>
      </c>
      <c r="I254" s="3">
        <f t="shared" si="33"/>
        <v>1.1882151461963255</v>
      </c>
      <c r="J254" s="3">
        <f t="shared" si="34"/>
        <v>1.2251816929304087</v>
      </c>
      <c r="K254" s="3">
        <f t="shared" si="35"/>
        <v>-0.58463278673164254</v>
      </c>
      <c r="L254" s="3">
        <f t="shared" si="36"/>
        <v>1.1952823964083776</v>
      </c>
      <c r="M254" s="3">
        <f t="shared" si="37"/>
        <v>-0.68651906568733967</v>
      </c>
      <c r="N254" s="3">
        <f t="shared" si="38"/>
        <v>-0.86179582596158</v>
      </c>
      <c r="O254" s="3">
        <f t="shared" si="39"/>
        <v>2.1829089246613326E-3</v>
      </c>
      <c r="P254" s="3">
        <f t="shared" si="40"/>
        <v>0.50054572701446209</v>
      </c>
      <c r="Q254" s="3">
        <f t="shared" si="41"/>
        <v>-0.6942392306585794</v>
      </c>
      <c r="R254" s="3">
        <f t="shared" si="43"/>
        <v>-0.50054572701446209</v>
      </c>
    </row>
    <row r="255" spans="1:18" x14ac:dyDescent="0.3">
      <c r="A255" s="2">
        <v>251</v>
      </c>
      <c r="B255" s="2">
        <v>1</v>
      </c>
      <c r="C255" s="2">
        <v>33</v>
      </c>
      <c r="D255" s="2">
        <f t="shared" si="42"/>
        <v>1089</v>
      </c>
      <c r="E255" s="2">
        <v>80.553799999999995</v>
      </c>
      <c r="F255" s="2">
        <v>191.76179999999999</v>
      </c>
      <c r="G255" s="2">
        <v>0.21031900000000001</v>
      </c>
      <c r="H255" s="2">
        <v>2</v>
      </c>
      <c r="I255" s="3">
        <f t="shared" si="33"/>
        <v>0.72938576807958244</v>
      </c>
      <c r="J255" s="3">
        <f t="shared" si="34"/>
        <v>0.66938300119137872</v>
      </c>
      <c r="K255" s="3">
        <f t="shared" si="35"/>
        <v>0.58219638515215411</v>
      </c>
      <c r="L255" s="3">
        <f t="shared" si="36"/>
        <v>1.2145767175590192</v>
      </c>
      <c r="M255" s="3">
        <f t="shared" si="37"/>
        <v>-0.97915559273017938</v>
      </c>
      <c r="N255" s="3">
        <f t="shared" si="38"/>
        <v>-0.86179582596158</v>
      </c>
      <c r="O255" s="3">
        <f t="shared" si="39"/>
        <v>9.308663861384231E-2</v>
      </c>
      <c r="P255" s="3">
        <f t="shared" si="40"/>
        <v>0.52325486988711911</v>
      </c>
      <c r="Q255" s="3">
        <f t="shared" si="41"/>
        <v>-0.64768661070054345</v>
      </c>
      <c r="R255" s="3">
        <f t="shared" si="43"/>
        <v>0.47674513011288089</v>
      </c>
    </row>
    <row r="256" spans="1:18" x14ac:dyDescent="0.3">
      <c r="A256" s="2">
        <v>252</v>
      </c>
      <c r="B256" s="2">
        <v>1</v>
      </c>
      <c r="C256" s="2">
        <v>33</v>
      </c>
      <c r="D256" s="2">
        <f t="shared" si="42"/>
        <v>1089</v>
      </c>
      <c r="E256" s="2">
        <v>68.771299999999997</v>
      </c>
      <c r="F256" s="2">
        <v>162.6602</v>
      </c>
      <c r="G256" s="2">
        <v>0.76536300000000002</v>
      </c>
      <c r="H256" s="2">
        <v>1</v>
      </c>
      <c r="I256" s="3">
        <f t="shared" si="33"/>
        <v>0.72938576807958244</v>
      </c>
      <c r="J256" s="3">
        <f t="shared" si="34"/>
        <v>0.66938300119137872</v>
      </c>
      <c r="K256" s="3">
        <f t="shared" si="35"/>
        <v>-0.60884274832448482</v>
      </c>
      <c r="L256" s="3">
        <f t="shared" si="36"/>
        <v>-1.7282724249856265</v>
      </c>
      <c r="M256" s="3">
        <f t="shared" si="37"/>
        <v>0.9603074215025883</v>
      </c>
      <c r="N256" s="3">
        <f t="shared" si="38"/>
        <v>-1.4496510960581555</v>
      </c>
      <c r="O256" s="3">
        <f t="shared" si="39"/>
        <v>-0.12743805579478273</v>
      </c>
      <c r="P256" s="3">
        <f t="shared" si="40"/>
        <v>0.46818353389933259</v>
      </c>
      <c r="Q256" s="3">
        <f t="shared" si="41"/>
        <v>-0.75889489349008932</v>
      </c>
      <c r="R256" s="3">
        <f t="shared" si="43"/>
        <v>0.53181646610066746</v>
      </c>
    </row>
    <row r="257" spans="1:18" x14ac:dyDescent="0.3">
      <c r="A257" s="2">
        <v>253</v>
      </c>
      <c r="B257" s="2">
        <v>0</v>
      </c>
      <c r="C257" s="2">
        <v>20</v>
      </c>
      <c r="D257" s="2">
        <f t="shared" si="42"/>
        <v>400</v>
      </c>
      <c r="E257" s="2">
        <v>70.040300000000002</v>
      </c>
      <c r="F257" s="2">
        <v>182.06720000000001</v>
      </c>
      <c r="G257" s="2">
        <v>0.25302599999999997</v>
      </c>
      <c r="H257" s="2">
        <v>5</v>
      </c>
      <c r="I257" s="3">
        <f t="shared" si="33"/>
        <v>-1.2588748704263044</v>
      </c>
      <c r="J257" s="3">
        <f t="shared" si="34"/>
        <v>-1.1805942867708998</v>
      </c>
      <c r="K257" s="3">
        <f t="shared" si="35"/>
        <v>-0.48056533178454319</v>
      </c>
      <c r="L257" s="3">
        <f t="shared" si="36"/>
        <v>0.23422700148453274</v>
      </c>
      <c r="M257" s="3">
        <f t="shared" si="37"/>
        <v>-0.82992661818250602</v>
      </c>
      <c r="N257" s="3">
        <f t="shared" si="38"/>
        <v>0.90176998432814681</v>
      </c>
      <c r="O257" s="3">
        <f t="shared" si="39"/>
        <v>0.19741499894421449</v>
      </c>
      <c r="P257" s="3">
        <f t="shared" si="40"/>
        <v>0.54919408463288011</v>
      </c>
      <c r="Q257" s="3">
        <f t="shared" si="41"/>
        <v>-0.79671837497022102</v>
      </c>
      <c r="R257" s="3">
        <f t="shared" si="43"/>
        <v>-0.54919408463288011</v>
      </c>
    </row>
    <row r="258" spans="1:18" x14ac:dyDescent="0.3">
      <c r="A258" s="2">
        <v>254</v>
      </c>
      <c r="B258" s="2">
        <v>0</v>
      </c>
      <c r="C258" s="2">
        <v>37</v>
      </c>
      <c r="D258" s="2">
        <f t="shared" si="42"/>
        <v>1369</v>
      </c>
      <c r="E258" s="2">
        <v>73.318899999999999</v>
      </c>
      <c r="F258" s="2">
        <v>187.58940000000001</v>
      </c>
      <c r="G258" s="2">
        <v>0.86556200000000005</v>
      </c>
      <c r="H258" s="2">
        <v>1</v>
      </c>
      <c r="I258" s="3">
        <f t="shared" si="33"/>
        <v>1.34115827223524</v>
      </c>
      <c r="J258" s="3">
        <f t="shared" si="34"/>
        <v>1.4211879948480377</v>
      </c>
      <c r="K258" s="3">
        <f t="shared" si="35"/>
        <v>-0.14914662582091023</v>
      </c>
      <c r="L258" s="3">
        <f t="shared" si="36"/>
        <v>0.79264995881196632</v>
      </c>
      <c r="M258" s="3">
        <f t="shared" si="37"/>
        <v>1.3104278706257373</v>
      </c>
      <c r="N258" s="3">
        <f t="shared" si="38"/>
        <v>-1.4496510960581555</v>
      </c>
      <c r="O258" s="3">
        <f t="shared" si="39"/>
        <v>-5.1529973043813557E-2</v>
      </c>
      <c r="P258" s="3">
        <f t="shared" si="40"/>
        <v>0.48712035659693709</v>
      </c>
      <c r="Q258" s="3">
        <f t="shared" si="41"/>
        <v>-0.66771407458675136</v>
      </c>
      <c r="R258" s="3">
        <f t="shared" si="43"/>
        <v>-0.48712035659693709</v>
      </c>
    </row>
    <row r="259" spans="1:18" x14ac:dyDescent="0.3">
      <c r="A259" s="2">
        <v>255</v>
      </c>
      <c r="B259" s="2">
        <v>1</v>
      </c>
      <c r="C259" s="2">
        <v>39</v>
      </c>
      <c r="D259" s="2">
        <f t="shared" si="42"/>
        <v>1521</v>
      </c>
      <c r="E259" s="2">
        <v>71.266000000000005</v>
      </c>
      <c r="F259" s="2">
        <v>183.81540000000001</v>
      </c>
      <c r="G259" s="2">
        <v>0.102843</v>
      </c>
      <c r="H259" s="2">
        <v>6</v>
      </c>
      <c r="I259" s="3">
        <f t="shared" si="33"/>
        <v>1.6470445243130687</v>
      </c>
      <c r="J259" s="3">
        <f t="shared" si="34"/>
        <v>1.829310705690224</v>
      </c>
      <c r="K259" s="3">
        <f t="shared" si="35"/>
        <v>-0.35666491456389221</v>
      </c>
      <c r="L259" s="3">
        <f t="shared" si="36"/>
        <v>0.41101071341090595</v>
      </c>
      <c r="M259" s="3">
        <f t="shared" si="37"/>
        <v>-1.3547037058845974</v>
      </c>
      <c r="N259" s="3">
        <f t="shared" si="38"/>
        <v>1.4896252544247224</v>
      </c>
      <c r="O259" s="3">
        <f t="shared" si="39"/>
        <v>1.2165318010124038E-2</v>
      </c>
      <c r="P259" s="3">
        <f t="shared" si="40"/>
        <v>0.50304129199463232</v>
      </c>
      <c r="Q259" s="3">
        <f t="shared" si="41"/>
        <v>-0.68708302081109485</v>
      </c>
      <c r="R259" s="3">
        <f t="shared" si="43"/>
        <v>0.49695870800536768</v>
      </c>
    </row>
    <row r="260" spans="1:18" x14ac:dyDescent="0.3">
      <c r="A260" s="2">
        <v>256</v>
      </c>
      <c r="B260" s="2">
        <v>0</v>
      </c>
      <c r="C260" s="2">
        <v>18</v>
      </c>
      <c r="D260" s="2">
        <f t="shared" si="42"/>
        <v>324</v>
      </c>
      <c r="E260" s="2">
        <v>63.264299999999999</v>
      </c>
      <c r="F260" s="2">
        <v>186.36600000000001</v>
      </c>
      <c r="G260" s="2">
        <v>0.12595500000000001</v>
      </c>
      <c r="H260" s="2">
        <v>4</v>
      </c>
      <c r="I260" s="3">
        <f t="shared" si="33"/>
        <v>-1.5647611225041334</v>
      </c>
      <c r="J260" s="3">
        <f t="shared" si="34"/>
        <v>-1.3846556421919931</v>
      </c>
      <c r="K260" s="3">
        <f t="shared" si="35"/>
        <v>-1.1655202368079007</v>
      </c>
      <c r="L260" s="3">
        <f t="shared" si="36"/>
        <v>0.66893574237750519</v>
      </c>
      <c r="M260" s="3">
        <f t="shared" si="37"/>
        <v>-1.2739445783470551</v>
      </c>
      <c r="N260" s="3">
        <f t="shared" si="38"/>
        <v>0.31391471423157125</v>
      </c>
      <c r="O260" s="3">
        <f t="shared" si="39"/>
        <v>0.25656230270494418</v>
      </c>
      <c r="P260" s="3">
        <f t="shared" si="40"/>
        <v>0.56379104268171221</v>
      </c>
      <c r="Q260" s="3">
        <f t="shared" si="41"/>
        <v>-0.82963389053712033</v>
      </c>
      <c r="R260" s="3">
        <f t="shared" si="43"/>
        <v>-0.56379104268171221</v>
      </c>
    </row>
    <row r="261" spans="1:18" x14ac:dyDescent="0.3">
      <c r="A261" s="2">
        <v>257</v>
      </c>
      <c r="B261" s="2">
        <v>1</v>
      </c>
      <c r="C261" s="2">
        <v>37</v>
      </c>
      <c r="D261" s="2">
        <f t="shared" si="42"/>
        <v>1369</v>
      </c>
      <c r="E261" s="2">
        <v>82.959100000000007</v>
      </c>
      <c r="F261" s="2">
        <v>180.58349999999999</v>
      </c>
      <c r="G261" s="2">
        <v>0.97915200000000002</v>
      </c>
      <c r="H261" s="2">
        <v>2</v>
      </c>
      <c r="I261" s="3">
        <f t="shared" ref="I261:I324" si="44">(C261-$V$3)/$W$3</f>
        <v>1.34115827223524</v>
      </c>
      <c r="J261" s="3">
        <f t="shared" ref="J261:J324" si="45" xml:space="preserve"> (D261- $V$8)/$W$8</f>
        <v>1.4211879948480377</v>
      </c>
      <c r="K261" s="3">
        <f t="shared" ref="K261:K324" si="46">(E261-$V$4)/$W$4</f>
        <v>0.82533718105721443</v>
      </c>
      <c r="L261" s="3">
        <f t="shared" ref="L261:L324" si="47">(F261-$V$5)/$W$5</f>
        <v>8.419039618470138E-2</v>
      </c>
      <c r="M261" s="3">
        <f t="shared" ref="M261:M324" si="48">(G261-$V$6)/$W$6</f>
        <v>1.7073398339776518</v>
      </c>
      <c r="N261" s="3">
        <f t="shared" ref="N261:N324" si="49">(H261-$V$7)/$W$7</f>
        <v>-0.86179582596158</v>
      </c>
      <c r="O261" s="3">
        <f t="shared" ref="O261:O324" si="50">$V$11+$V$12*I261+$V$17*J261+$V$13*K261+$V$14*L261+$V$15*M261+$V$16*N261</f>
        <v>-2.9131272272407194E-2</v>
      </c>
      <c r="P261" s="3">
        <f t="shared" ref="P261:P324" si="51">1/(1+EXP(-O261))</f>
        <v>0.49271769692364081</v>
      </c>
      <c r="Q261" s="3">
        <f t="shared" ref="Q261:Q324" si="52">B261*LN(P261)+(1-B261)*LN(1-P261)</f>
        <v>-0.70781889182347779</v>
      </c>
      <c r="R261" s="3">
        <f t="shared" si="43"/>
        <v>0.50728230307635913</v>
      </c>
    </row>
    <row r="262" spans="1:18" x14ac:dyDescent="0.3">
      <c r="A262" s="2">
        <v>258</v>
      </c>
      <c r="B262" s="2">
        <v>1</v>
      </c>
      <c r="C262" s="2">
        <v>28</v>
      </c>
      <c r="D262" s="2">
        <f t="shared" ref="D262:D325" si="53">C262^2</f>
        <v>784</v>
      </c>
      <c r="E262" s="2">
        <v>85.485299999999995</v>
      </c>
      <c r="F262" s="2">
        <v>172.5522</v>
      </c>
      <c r="G262" s="2">
        <v>0.67383899999999997</v>
      </c>
      <c r="H262" s="2">
        <v>4</v>
      </c>
      <c r="I262" s="3">
        <f t="shared" si="44"/>
        <v>-3.5329862114989473E-2</v>
      </c>
      <c r="J262" s="3">
        <f t="shared" si="45"/>
        <v>-0.14954743832748191</v>
      </c>
      <c r="K262" s="3">
        <f t="shared" si="46"/>
        <v>1.0806992060085128</v>
      </c>
      <c r="L262" s="3">
        <f t="shared" si="47"/>
        <v>-0.72796097413578897</v>
      </c>
      <c r="M262" s="3">
        <f t="shared" si="48"/>
        <v>0.64049959921347266</v>
      </c>
      <c r="N262" s="3">
        <f t="shared" si="49"/>
        <v>0.31391471423157125</v>
      </c>
      <c r="O262" s="3">
        <f t="shared" si="50"/>
        <v>4.0562003880401362E-2</v>
      </c>
      <c r="P262" s="3">
        <f t="shared" si="51"/>
        <v>0.51013911087176911</v>
      </c>
      <c r="Q262" s="3">
        <f t="shared" si="52"/>
        <v>-0.6730718240425273</v>
      </c>
      <c r="R262" s="3">
        <f t="shared" ref="R262:R325" si="54">B262-P262</f>
        <v>0.48986088912823089</v>
      </c>
    </row>
    <row r="263" spans="1:18" x14ac:dyDescent="0.3">
      <c r="A263" s="2">
        <v>259</v>
      </c>
      <c r="B263" s="2">
        <v>0</v>
      </c>
      <c r="C263" s="2">
        <v>34</v>
      </c>
      <c r="D263" s="2">
        <f t="shared" si="53"/>
        <v>1156</v>
      </c>
      <c r="E263" s="2">
        <v>78.436199999999999</v>
      </c>
      <c r="F263" s="2">
        <v>163.029</v>
      </c>
      <c r="G263" s="2">
        <v>0.84688699999999995</v>
      </c>
      <c r="H263" s="2">
        <v>4</v>
      </c>
      <c r="I263" s="3">
        <f t="shared" si="44"/>
        <v>0.8823288941184968</v>
      </c>
      <c r="J263" s="3">
        <f t="shared" si="45"/>
        <v>0.84927919610207925</v>
      </c>
      <c r="K263" s="3">
        <f t="shared" si="46"/>
        <v>0.36813786878889287</v>
      </c>
      <c r="L263" s="3">
        <f t="shared" si="47"/>
        <v>-1.6909781606231706</v>
      </c>
      <c r="M263" s="3">
        <f t="shared" si="48"/>
        <v>1.2451727344729331</v>
      </c>
      <c r="N263" s="3">
        <f t="shared" si="49"/>
        <v>0.31391471423157125</v>
      </c>
      <c r="O263" s="3">
        <f t="shared" si="50"/>
        <v>-0.1018562992263098</v>
      </c>
      <c r="P263" s="3">
        <f t="shared" si="51"/>
        <v>0.47455791756741689</v>
      </c>
      <c r="Q263" s="3">
        <f t="shared" si="52"/>
        <v>-0.64351530894928122</v>
      </c>
      <c r="R263" s="3">
        <f t="shared" si="54"/>
        <v>-0.47455791756741689</v>
      </c>
    </row>
    <row r="264" spans="1:18" x14ac:dyDescent="0.3">
      <c r="A264" s="2">
        <v>260</v>
      </c>
      <c r="B264" s="2">
        <v>1</v>
      </c>
      <c r="C264" s="2">
        <v>25</v>
      </c>
      <c r="D264" s="2">
        <f t="shared" si="53"/>
        <v>625</v>
      </c>
      <c r="E264" s="2">
        <v>71.234499999999997</v>
      </c>
      <c r="F264" s="2">
        <v>173.54429999999999</v>
      </c>
      <c r="G264" s="2">
        <v>0.32432899999999998</v>
      </c>
      <c r="H264" s="2">
        <v>3</v>
      </c>
      <c r="I264" s="3">
        <f t="shared" si="44"/>
        <v>-0.49415924023173263</v>
      </c>
      <c r="J264" s="3">
        <f t="shared" si="45"/>
        <v>-0.57646527401108472</v>
      </c>
      <c r="K264" s="3">
        <f t="shared" si="46"/>
        <v>-0.35984910575460077</v>
      </c>
      <c r="L264" s="3">
        <f t="shared" si="47"/>
        <v>-0.6276365715490404</v>
      </c>
      <c r="M264" s="3">
        <f t="shared" si="48"/>
        <v>-0.58077604398687643</v>
      </c>
      <c r="N264" s="3">
        <f t="shared" si="49"/>
        <v>-0.27394055586500432</v>
      </c>
      <c r="O264" s="3">
        <f t="shared" si="50"/>
        <v>6.1085599060391578E-2</v>
      </c>
      <c r="P264" s="3">
        <f t="shared" si="51"/>
        <v>0.51526665283047224</v>
      </c>
      <c r="Q264" s="3">
        <f t="shared" si="52"/>
        <v>-0.66307073982996922</v>
      </c>
      <c r="R264" s="3">
        <f t="shared" si="54"/>
        <v>0.48473334716952776</v>
      </c>
    </row>
    <row r="265" spans="1:18" x14ac:dyDescent="0.3">
      <c r="A265" s="2">
        <v>261</v>
      </c>
      <c r="B265" s="2">
        <v>0</v>
      </c>
      <c r="C265" s="2">
        <v>21</v>
      </c>
      <c r="D265" s="2">
        <f t="shared" si="53"/>
        <v>441</v>
      </c>
      <c r="E265" s="2">
        <v>67.947900000000004</v>
      </c>
      <c r="F265" s="2">
        <v>206.78110000000001</v>
      </c>
      <c r="G265" s="2">
        <v>0.67648399999999997</v>
      </c>
      <c r="H265" s="2">
        <v>6</v>
      </c>
      <c r="I265" s="3">
        <f t="shared" si="44"/>
        <v>-1.1059317443873902</v>
      </c>
      <c r="J265" s="3">
        <f t="shared" si="45"/>
        <v>-1.0705085555568892</v>
      </c>
      <c r="K265" s="3">
        <f t="shared" si="46"/>
        <v>-0.69207649519523851</v>
      </c>
      <c r="L265" s="3">
        <f t="shared" si="47"/>
        <v>2.7333775438579462</v>
      </c>
      <c r="M265" s="3">
        <f t="shared" si="48"/>
        <v>0.64974189292828743</v>
      </c>
      <c r="N265" s="3">
        <f t="shared" si="49"/>
        <v>1.4896252544247224</v>
      </c>
      <c r="O265" s="3">
        <f t="shared" si="50"/>
        <v>0.14012547679424731</v>
      </c>
      <c r="P265" s="3">
        <f t="shared" si="51"/>
        <v>0.53497416101152129</v>
      </c>
      <c r="Q265" s="3">
        <f t="shared" si="52"/>
        <v>-0.76566230722145068</v>
      </c>
      <c r="R265" s="3">
        <f t="shared" si="54"/>
        <v>-0.53497416101152129</v>
      </c>
    </row>
    <row r="266" spans="1:18" x14ac:dyDescent="0.3">
      <c r="A266" s="2">
        <v>262</v>
      </c>
      <c r="B266" s="2">
        <v>0</v>
      </c>
      <c r="C266" s="2">
        <v>23</v>
      </c>
      <c r="D266" s="2">
        <f t="shared" si="53"/>
        <v>529</v>
      </c>
      <c r="E266" s="2">
        <v>67.963800000000006</v>
      </c>
      <c r="F266" s="2">
        <v>175.14349999999999</v>
      </c>
      <c r="G266" s="2">
        <v>0.59424200000000005</v>
      </c>
      <c r="H266" s="2">
        <v>3</v>
      </c>
      <c r="I266" s="3">
        <f t="shared" si="44"/>
        <v>-0.80004549230956135</v>
      </c>
      <c r="J266" s="3">
        <f t="shared" si="45"/>
        <v>-0.83422698612193913</v>
      </c>
      <c r="K266" s="3">
        <f t="shared" si="46"/>
        <v>-0.69046923678469052</v>
      </c>
      <c r="L266" s="3">
        <f t="shared" si="47"/>
        <v>-0.46592022781682674</v>
      </c>
      <c r="M266" s="3">
        <f t="shared" si="48"/>
        <v>0.36236770778885502</v>
      </c>
      <c r="N266" s="3">
        <f t="shared" si="49"/>
        <v>-0.27394055586500432</v>
      </c>
      <c r="O266" s="3">
        <f t="shared" si="50"/>
        <v>4.8727112559981696E-2</v>
      </c>
      <c r="P266" s="3">
        <f t="shared" si="51"/>
        <v>0.51217936841384726</v>
      </c>
      <c r="Q266" s="3">
        <f t="shared" si="52"/>
        <v>-0.71780749892016793</v>
      </c>
      <c r="R266" s="3">
        <f t="shared" si="54"/>
        <v>-0.51217936841384726</v>
      </c>
    </row>
    <row r="267" spans="1:18" x14ac:dyDescent="0.3">
      <c r="A267" s="2">
        <v>263</v>
      </c>
      <c r="B267" s="2">
        <v>0</v>
      </c>
      <c r="C267" s="2">
        <v>25</v>
      </c>
      <c r="D267" s="2">
        <f t="shared" si="53"/>
        <v>625</v>
      </c>
      <c r="E267" s="2">
        <v>98.573800000000006</v>
      </c>
      <c r="F267" s="2">
        <v>160.40610000000001</v>
      </c>
      <c r="G267" s="2">
        <v>0.60314999999999996</v>
      </c>
      <c r="H267" s="2">
        <v>4</v>
      </c>
      <c r="I267" s="3">
        <f t="shared" si="44"/>
        <v>-0.49415924023173263</v>
      </c>
      <c r="J267" s="3">
        <f t="shared" si="45"/>
        <v>-0.57646527401108472</v>
      </c>
      <c r="K267" s="3">
        <f t="shared" si="46"/>
        <v>2.4037559171062424</v>
      </c>
      <c r="L267" s="3">
        <f t="shared" si="47"/>
        <v>-1.9562144024786121</v>
      </c>
      <c r="M267" s="3">
        <f t="shared" si="48"/>
        <v>0.39349449509001555</v>
      </c>
      <c r="N267" s="3">
        <f t="shared" si="49"/>
        <v>0.31391471423157125</v>
      </c>
      <c r="O267" s="3">
        <f t="shared" si="50"/>
        <v>0.16186565586601939</v>
      </c>
      <c r="P267" s="3">
        <f t="shared" si="51"/>
        <v>0.54037829151971561</v>
      </c>
      <c r="Q267" s="3">
        <f t="shared" si="52"/>
        <v>-0.77735150070201509</v>
      </c>
      <c r="R267" s="3">
        <f t="shared" si="54"/>
        <v>-0.54037829151971561</v>
      </c>
    </row>
    <row r="268" spans="1:18" x14ac:dyDescent="0.3">
      <c r="A268" s="2">
        <v>264</v>
      </c>
      <c r="B268" s="2">
        <v>0</v>
      </c>
      <c r="C268" s="2">
        <v>37</v>
      </c>
      <c r="D268" s="2">
        <f t="shared" si="53"/>
        <v>1369</v>
      </c>
      <c r="E268" s="2">
        <v>84.378399999999999</v>
      </c>
      <c r="F268" s="2">
        <v>187.32650000000001</v>
      </c>
      <c r="G268" s="2">
        <v>0.68253200000000003</v>
      </c>
      <c r="H268" s="2">
        <v>2</v>
      </c>
      <c r="I268" s="3">
        <f t="shared" si="44"/>
        <v>1.34115827223524</v>
      </c>
      <c r="J268" s="3">
        <f t="shared" si="45"/>
        <v>1.4211879948480377</v>
      </c>
      <c r="K268" s="3">
        <f t="shared" si="46"/>
        <v>0.9688077384213889</v>
      </c>
      <c r="L268" s="3">
        <f t="shared" si="47"/>
        <v>0.76606464942777464</v>
      </c>
      <c r="M268" s="3">
        <f t="shared" si="48"/>
        <v>0.67087512256428006</v>
      </c>
      <c r="N268" s="3">
        <f t="shared" si="49"/>
        <v>-0.86179582596158</v>
      </c>
      <c r="O268" s="3">
        <f t="shared" si="50"/>
        <v>4.0129554475937128E-2</v>
      </c>
      <c r="P268" s="3">
        <f t="shared" si="51"/>
        <v>0.51003104250497244</v>
      </c>
      <c r="Q268" s="3">
        <f t="shared" si="52"/>
        <v>-0.7134132419352549</v>
      </c>
      <c r="R268" s="3">
        <f t="shared" si="54"/>
        <v>-0.51003104250497244</v>
      </c>
    </row>
    <row r="269" spans="1:18" x14ac:dyDescent="0.3">
      <c r="A269" s="2">
        <v>265</v>
      </c>
      <c r="B269" s="2">
        <v>0</v>
      </c>
      <c r="C269" s="2">
        <v>20</v>
      </c>
      <c r="D269" s="2">
        <f t="shared" si="53"/>
        <v>400</v>
      </c>
      <c r="E269" s="2">
        <v>66.5989</v>
      </c>
      <c r="F269" s="2">
        <v>188.55459999999999</v>
      </c>
      <c r="G269" s="2">
        <v>0.57535899999999995</v>
      </c>
      <c r="H269" s="2">
        <v>4</v>
      </c>
      <c r="I269" s="3">
        <f t="shared" si="44"/>
        <v>-1.2588748704263044</v>
      </c>
      <c r="J269" s="3">
        <f t="shared" si="45"/>
        <v>-1.1805942867708998</v>
      </c>
      <c r="K269" s="3">
        <f t="shared" si="46"/>
        <v>-0.82844074650523125</v>
      </c>
      <c r="L269" s="3">
        <f t="shared" si="47"/>
        <v>0.89025414526164737</v>
      </c>
      <c r="M269" s="3">
        <f t="shared" si="48"/>
        <v>0.29638576744222028</v>
      </c>
      <c r="N269" s="3">
        <f t="shared" si="49"/>
        <v>0.31391471423157125</v>
      </c>
      <c r="O269" s="3">
        <f t="shared" si="50"/>
        <v>0.15014297710849414</v>
      </c>
      <c r="P269" s="3">
        <f t="shared" si="51"/>
        <v>0.53746538912062181</v>
      </c>
      <c r="Q269" s="3">
        <f t="shared" si="52"/>
        <v>-0.7710338904958155</v>
      </c>
      <c r="R269" s="3">
        <f t="shared" si="54"/>
        <v>-0.53746538912062181</v>
      </c>
    </row>
    <row r="270" spans="1:18" x14ac:dyDescent="0.3">
      <c r="A270" s="2">
        <v>266</v>
      </c>
      <c r="B270" s="2">
        <v>0</v>
      </c>
      <c r="C270" s="2">
        <v>33</v>
      </c>
      <c r="D270" s="2">
        <f t="shared" si="53"/>
        <v>1089</v>
      </c>
      <c r="E270" s="2">
        <v>76.647000000000006</v>
      </c>
      <c r="F270" s="2">
        <v>192.8732</v>
      </c>
      <c r="G270" s="2">
        <v>0.429062</v>
      </c>
      <c r="H270" s="2">
        <v>6</v>
      </c>
      <c r="I270" s="3">
        <f t="shared" si="44"/>
        <v>0.72938576807958244</v>
      </c>
      <c r="J270" s="3">
        <f t="shared" si="45"/>
        <v>0.66938300119137872</v>
      </c>
      <c r="K270" s="3">
        <f t="shared" si="46"/>
        <v>0.18727580915669298</v>
      </c>
      <c r="L270" s="3">
        <f t="shared" si="47"/>
        <v>1.3269651270287435</v>
      </c>
      <c r="M270" s="3">
        <f t="shared" si="48"/>
        <v>-0.2148126611385969</v>
      </c>
      <c r="N270" s="3">
        <f t="shared" si="49"/>
        <v>1.4896252544247224</v>
      </c>
      <c r="O270" s="3">
        <f t="shared" si="50"/>
        <v>4.5265790697271539E-3</v>
      </c>
      <c r="P270" s="3">
        <f t="shared" si="51"/>
        <v>0.50113164283515998</v>
      </c>
      <c r="Q270" s="3">
        <f t="shared" si="52"/>
        <v>-0.69541303133238141</v>
      </c>
      <c r="R270" s="3">
        <f t="shared" si="54"/>
        <v>-0.50113164283515998</v>
      </c>
    </row>
    <row r="271" spans="1:18" x14ac:dyDescent="0.3">
      <c r="A271" s="2">
        <v>267</v>
      </c>
      <c r="B271" s="2">
        <v>1</v>
      </c>
      <c r="C271" s="2">
        <v>20</v>
      </c>
      <c r="D271" s="2">
        <f t="shared" si="53"/>
        <v>400</v>
      </c>
      <c r="E271" s="2">
        <v>71.374600000000001</v>
      </c>
      <c r="F271" s="2">
        <v>184.7098</v>
      </c>
      <c r="G271" s="2">
        <v>0.27592299999999997</v>
      </c>
      <c r="H271" s="2">
        <v>3</v>
      </c>
      <c r="I271" s="3">
        <f t="shared" si="44"/>
        <v>-1.2588748704263044</v>
      </c>
      <c r="J271" s="3">
        <f t="shared" si="45"/>
        <v>-1.1805942867708998</v>
      </c>
      <c r="K271" s="3">
        <f t="shared" si="46"/>
        <v>-0.34568703636354781</v>
      </c>
      <c r="L271" s="3">
        <f t="shared" si="47"/>
        <v>0.5014553718864504</v>
      </c>
      <c r="M271" s="3">
        <f t="shared" si="48"/>
        <v>-0.74991875459531709</v>
      </c>
      <c r="N271" s="3">
        <f t="shared" si="49"/>
        <v>-0.27394055586500432</v>
      </c>
      <c r="O271" s="3">
        <f t="shared" si="50"/>
        <v>0.22544582968355667</v>
      </c>
      <c r="P271" s="3">
        <f t="shared" si="51"/>
        <v>0.55612394639973006</v>
      </c>
      <c r="Q271" s="3">
        <f t="shared" si="52"/>
        <v>-0.58676408439630967</v>
      </c>
      <c r="R271" s="3">
        <f t="shared" si="54"/>
        <v>0.44387605360026994</v>
      </c>
    </row>
    <row r="272" spans="1:18" x14ac:dyDescent="0.3">
      <c r="A272" s="2">
        <v>268</v>
      </c>
      <c r="B272" s="2">
        <v>1</v>
      </c>
      <c r="C272" s="2">
        <v>35</v>
      </c>
      <c r="D272" s="2">
        <f t="shared" si="53"/>
        <v>1225</v>
      </c>
      <c r="E272" s="2">
        <v>80.837999999999994</v>
      </c>
      <c r="F272" s="2">
        <v>188.45599999999999</v>
      </c>
      <c r="G272" s="2">
        <v>0.76858099999999996</v>
      </c>
      <c r="H272" s="2">
        <v>2</v>
      </c>
      <c r="I272" s="3">
        <f t="shared" si="44"/>
        <v>1.0352720201574113</v>
      </c>
      <c r="J272" s="3">
        <f t="shared" si="45"/>
        <v>1.034545426681756</v>
      </c>
      <c r="K272" s="3">
        <f t="shared" si="46"/>
        <v>0.61092486567276172</v>
      </c>
      <c r="L272" s="3">
        <f t="shared" si="47"/>
        <v>0.88028339020161928</v>
      </c>
      <c r="M272" s="3">
        <f t="shared" si="48"/>
        <v>0.97155192100136845</v>
      </c>
      <c r="N272" s="3">
        <f t="shared" si="49"/>
        <v>-0.86179582596158</v>
      </c>
      <c r="O272" s="3">
        <f t="shared" si="50"/>
        <v>1.1745300602802027E-3</v>
      </c>
      <c r="P272" s="3">
        <f t="shared" si="51"/>
        <v>0.50029363248131409</v>
      </c>
      <c r="Q272" s="3">
        <f t="shared" si="52"/>
        <v>-0.69256008796990298</v>
      </c>
      <c r="R272" s="3">
        <f t="shared" si="54"/>
        <v>0.49970636751868591</v>
      </c>
    </row>
    <row r="273" spans="1:18" x14ac:dyDescent="0.3">
      <c r="A273" s="2">
        <v>269</v>
      </c>
      <c r="B273" s="2">
        <v>1</v>
      </c>
      <c r="C273" s="2">
        <v>31</v>
      </c>
      <c r="D273" s="2">
        <f t="shared" si="53"/>
        <v>961</v>
      </c>
      <c r="E273" s="2">
        <v>80.435000000000002</v>
      </c>
      <c r="F273" s="2">
        <v>198.40219999999999</v>
      </c>
      <c r="G273" s="2">
        <v>0.226272</v>
      </c>
      <c r="H273" s="2">
        <v>4</v>
      </c>
      <c r="I273" s="3">
        <f t="shared" si="44"/>
        <v>0.42349951600175367</v>
      </c>
      <c r="J273" s="3">
        <f t="shared" si="45"/>
        <v>0.32570071837690606</v>
      </c>
      <c r="K273" s="3">
        <f t="shared" si="46"/>
        <v>0.57018743551862838</v>
      </c>
      <c r="L273" s="3">
        <f t="shared" si="47"/>
        <v>1.8860757226361788</v>
      </c>
      <c r="M273" s="3">
        <f t="shared" si="48"/>
        <v>-0.9234118076139447</v>
      </c>
      <c r="N273" s="3">
        <f t="shared" si="49"/>
        <v>0.31391471423157125</v>
      </c>
      <c r="O273" s="3">
        <f t="shared" si="50"/>
        <v>0.10074310467252143</v>
      </c>
      <c r="P273" s="3">
        <f t="shared" si="51"/>
        <v>0.52516449653136021</v>
      </c>
      <c r="Q273" s="3">
        <f t="shared" si="52"/>
        <v>-0.64404373874068055</v>
      </c>
      <c r="R273" s="3">
        <f t="shared" si="54"/>
        <v>0.47483550346863979</v>
      </c>
    </row>
    <row r="274" spans="1:18" x14ac:dyDescent="0.3">
      <c r="A274" s="2">
        <v>270</v>
      </c>
      <c r="B274" s="2">
        <v>1</v>
      </c>
      <c r="C274" s="2">
        <v>35</v>
      </c>
      <c r="D274" s="2">
        <f t="shared" si="53"/>
        <v>1225</v>
      </c>
      <c r="E274" s="2">
        <v>85.836100000000002</v>
      </c>
      <c r="F274" s="2">
        <v>172.5453</v>
      </c>
      <c r="G274" s="2">
        <v>0.69235400000000002</v>
      </c>
      <c r="H274" s="2">
        <v>5</v>
      </c>
      <c r="I274" s="3">
        <f t="shared" si="44"/>
        <v>1.0352720201574113</v>
      </c>
      <c r="J274" s="3">
        <f t="shared" si="45"/>
        <v>1.034545426681756</v>
      </c>
      <c r="K274" s="3">
        <f t="shared" si="46"/>
        <v>1.1161599764751891</v>
      </c>
      <c r="L274" s="3">
        <f t="shared" si="47"/>
        <v>-0.72865872474343818</v>
      </c>
      <c r="M274" s="3">
        <f t="shared" si="48"/>
        <v>0.70519565521717653</v>
      </c>
      <c r="N274" s="3">
        <f t="shared" si="49"/>
        <v>0.90176998432814681</v>
      </c>
      <c r="O274" s="3">
        <f t="shared" si="50"/>
        <v>-1.626758077046471E-2</v>
      </c>
      <c r="P274" s="3">
        <f t="shared" si="51"/>
        <v>0.49593319449163475</v>
      </c>
      <c r="Q274" s="3">
        <f t="shared" si="52"/>
        <v>-0.70131404985345347</v>
      </c>
      <c r="R274" s="3">
        <f t="shared" si="54"/>
        <v>0.50406680550836525</v>
      </c>
    </row>
    <row r="275" spans="1:18" x14ac:dyDescent="0.3">
      <c r="A275" s="2">
        <v>271</v>
      </c>
      <c r="B275" s="2">
        <v>0</v>
      </c>
      <c r="C275" s="2">
        <v>19</v>
      </c>
      <c r="D275" s="2">
        <f t="shared" si="53"/>
        <v>361</v>
      </c>
      <c r="E275" s="2">
        <v>66.494399999999999</v>
      </c>
      <c r="F275" s="2">
        <v>170.5615</v>
      </c>
      <c r="G275" s="2">
        <v>0.23333300000000001</v>
      </c>
      <c r="H275" s="2">
        <v>6</v>
      </c>
      <c r="I275" s="3">
        <f t="shared" si="44"/>
        <v>-1.4118179964652189</v>
      </c>
      <c r="J275" s="3">
        <f t="shared" si="45"/>
        <v>-1.2853099823159346</v>
      </c>
      <c r="K275" s="3">
        <f t="shared" si="46"/>
        <v>-0.83900417442361119</v>
      </c>
      <c r="L275" s="3">
        <f t="shared" si="47"/>
        <v>-0.92926708060634866</v>
      </c>
      <c r="M275" s="3">
        <f t="shared" si="48"/>
        <v>-0.89873890178396076</v>
      </c>
      <c r="N275" s="3">
        <f t="shared" si="49"/>
        <v>1.4896252544247224</v>
      </c>
      <c r="O275" s="3">
        <f t="shared" si="50"/>
        <v>0.17406645735291035</v>
      </c>
      <c r="P275" s="3">
        <f t="shared" si="51"/>
        <v>0.54340706993432775</v>
      </c>
      <c r="Q275" s="3">
        <f t="shared" si="52"/>
        <v>-0.78396302887475389</v>
      </c>
      <c r="R275" s="3">
        <f t="shared" si="54"/>
        <v>-0.54340706993432775</v>
      </c>
    </row>
    <row r="276" spans="1:18" x14ac:dyDescent="0.3">
      <c r="A276" s="2">
        <v>272</v>
      </c>
      <c r="B276" s="2">
        <v>1</v>
      </c>
      <c r="C276" s="2">
        <v>39</v>
      </c>
      <c r="D276" s="2">
        <f t="shared" si="53"/>
        <v>1521</v>
      </c>
      <c r="E276" s="2">
        <v>76.047399999999996</v>
      </c>
      <c r="F276" s="2">
        <v>169.05410000000001</v>
      </c>
      <c r="G276" s="2">
        <v>0.62533000000000005</v>
      </c>
      <c r="H276" s="2">
        <v>6</v>
      </c>
      <c r="I276" s="3">
        <f t="shared" si="44"/>
        <v>1.6470445243130687</v>
      </c>
      <c r="J276" s="3">
        <f t="shared" si="45"/>
        <v>1.829310705690224</v>
      </c>
      <c r="K276" s="3">
        <f t="shared" si="46"/>
        <v>0.12666498255515646</v>
      </c>
      <c r="L276" s="3">
        <f t="shared" si="47"/>
        <v>-1.0817003075585359</v>
      </c>
      <c r="M276" s="3">
        <f t="shared" si="48"/>
        <v>0.47099698075904889</v>
      </c>
      <c r="N276" s="3">
        <f t="shared" si="49"/>
        <v>1.4896252544247224</v>
      </c>
      <c r="O276" s="3">
        <f t="shared" si="50"/>
        <v>-6.8340051810768687E-2</v>
      </c>
      <c r="P276" s="3">
        <f t="shared" si="51"/>
        <v>0.48292163337715699</v>
      </c>
      <c r="Q276" s="3">
        <f t="shared" si="52"/>
        <v>-0.72790088823021182</v>
      </c>
      <c r="R276" s="3">
        <f t="shared" si="54"/>
        <v>0.51707836662284301</v>
      </c>
    </row>
    <row r="277" spans="1:18" x14ac:dyDescent="0.3">
      <c r="A277" s="2">
        <v>273</v>
      </c>
      <c r="B277" s="2">
        <v>1</v>
      </c>
      <c r="C277" s="2">
        <v>20</v>
      </c>
      <c r="D277" s="2">
        <f t="shared" si="53"/>
        <v>400</v>
      </c>
      <c r="E277" s="2">
        <v>57.514499999999998</v>
      </c>
      <c r="F277" s="2">
        <v>177.34229999999999</v>
      </c>
      <c r="G277" s="2">
        <v>0.74707800000000002</v>
      </c>
      <c r="H277" s="2">
        <v>5</v>
      </c>
      <c r="I277" s="3">
        <f t="shared" si="44"/>
        <v>-1.2588748704263044</v>
      </c>
      <c r="J277" s="3">
        <f t="shared" si="45"/>
        <v>-1.1805942867708998</v>
      </c>
      <c r="K277" s="3">
        <f t="shared" si="46"/>
        <v>-1.7467412688184232</v>
      </c>
      <c r="L277" s="3">
        <f t="shared" si="47"/>
        <v>-0.24357036751267902</v>
      </c>
      <c r="M277" s="3">
        <f t="shared" si="48"/>
        <v>0.89641504321321641</v>
      </c>
      <c r="N277" s="3">
        <f t="shared" si="49"/>
        <v>0.90176998432814681</v>
      </c>
      <c r="O277" s="3">
        <f t="shared" si="50"/>
        <v>2.9960966046345523E-2</v>
      </c>
      <c r="P277" s="3">
        <f t="shared" si="51"/>
        <v>0.50748968125468263</v>
      </c>
      <c r="Q277" s="3">
        <f t="shared" si="52"/>
        <v>-0.67827890077599118</v>
      </c>
      <c r="R277" s="3">
        <f t="shared" si="54"/>
        <v>0.49251031874531737</v>
      </c>
    </row>
    <row r="278" spans="1:18" x14ac:dyDescent="0.3">
      <c r="A278" s="2">
        <v>274</v>
      </c>
      <c r="B278" s="2">
        <v>1</v>
      </c>
      <c r="C278" s="2">
        <v>33</v>
      </c>
      <c r="D278" s="2">
        <f t="shared" si="53"/>
        <v>1089</v>
      </c>
      <c r="E278" s="2">
        <v>62.426600000000001</v>
      </c>
      <c r="F278" s="2">
        <v>194.33420000000001</v>
      </c>
      <c r="G278" s="2">
        <v>0.21871399999999999</v>
      </c>
      <c r="H278" s="2">
        <v>4</v>
      </c>
      <c r="I278" s="3">
        <f t="shared" si="44"/>
        <v>0.72938576807958244</v>
      </c>
      <c r="J278" s="3">
        <f t="shared" si="45"/>
        <v>0.66938300119137872</v>
      </c>
      <c r="K278" s="3">
        <f t="shared" si="46"/>
        <v>-1.2501995053938018</v>
      </c>
      <c r="L278" s="3">
        <f t="shared" si="47"/>
        <v>1.4747062339526846</v>
      </c>
      <c r="M278" s="3">
        <f t="shared" si="48"/>
        <v>-0.94982135615707131</v>
      </c>
      <c r="N278" s="3">
        <f t="shared" si="49"/>
        <v>0.31391471423157125</v>
      </c>
      <c r="O278" s="3">
        <f t="shared" si="50"/>
        <v>-3.8655268281207578E-2</v>
      </c>
      <c r="P278" s="3">
        <f t="shared" si="51"/>
        <v>0.49033738608017996</v>
      </c>
      <c r="Q278" s="3">
        <f t="shared" si="52"/>
        <v>-0.71266158179368044</v>
      </c>
      <c r="R278" s="3">
        <f t="shared" si="54"/>
        <v>0.50966261391982004</v>
      </c>
    </row>
    <row r="279" spans="1:18" x14ac:dyDescent="0.3">
      <c r="A279" s="2">
        <v>275</v>
      </c>
      <c r="B279" s="2">
        <v>0</v>
      </c>
      <c r="C279" s="2">
        <v>26</v>
      </c>
      <c r="D279" s="2">
        <f t="shared" si="53"/>
        <v>676</v>
      </c>
      <c r="E279" s="2">
        <v>83.840999999999994</v>
      </c>
      <c r="F279" s="2">
        <v>185.2807</v>
      </c>
      <c r="G279" s="2">
        <v>5.9943000000000003E-2</v>
      </c>
      <c r="H279" s="2">
        <v>6</v>
      </c>
      <c r="I279" s="3">
        <f t="shared" si="44"/>
        <v>-0.34121611419281822</v>
      </c>
      <c r="J279" s="3">
        <f t="shared" si="45"/>
        <v>-0.43952936445219321</v>
      </c>
      <c r="K279" s="3">
        <f t="shared" si="46"/>
        <v>0.91448442585356771</v>
      </c>
      <c r="L279" s="3">
        <f t="shared" si="47"/>
        <v>0.559186650423669</v>
      </c>
      <c r="M279" s="3">
        <f t="shared" si="48"/>
        <v>-1.5046070708621231</v>
      </c>
      <c r="N279" s="3">
        <f t="shared" si="49"/>
        <v>1.4896252544247224</v>
      </c>
      <c r="O279" s="3">
        <f t="shared" si="50"/>
        <v>0.1671715090277808</v>
      </c>
      <c r="P279" s="3">
        <f t="shared" si="51"/>
        <v>0.54169581875341077</v>
      </c>
      <c r="Q279" s="3">
        <f t="shared" si="52"/>
        <v>-0.78022216412532663</v>
      </c>
      <c r="R279" s="3">
        <f t="shared" si="54"/>
        <v>-0.54169581875341077</v>
      </c>
    </row>
    <row r="280" spans="1:18" x14ac:dyDescent="0.3">
      <c r="A280" s="2">
        <v>276</v>
      </c>
      <c r="B280" s="2">
        <v>1</v>
      </c>
      <c r="C280" s="2">
        <v>21</v>
      </c>
      <c r="D280" s="2">
        <f t="shared" si="53"/>
        <v>441</v>
      </c>
      <c r="E280" s="2">
        <v>65.493200000000002</v>
      </c>
      <c r="F280" s="2">
        <v>184.8869</v>
      </c>
      <c r="G280" s="2">
        <v>0.13097400000000001</v>
      </c>
      <c r="H280" s="2">
        <v>2</v>
      </c>
      <c r="I280" s="3">
        <f t="shared" si="44"/>
        <v>-1.1059317443873902</v>
      </c>
      <c r="J280" s="3">
        <f t="shared" si="45"/>
        <v>-1.0705085555568892</v>
      </c>
      <c r="K280" s="3">
        <f t="shared" si="46"/>
        <v>-0.94021091157080472</v>
      </c>
      <c r="L280" s="3">
        <f t="shared" si="47"/>
        <v>0.5193643041494409</v>
      </c>
      <c r="M280" s="3">
        <f t="shared" si="48"/>
        <v>-1.2564069329199643</v>
      </c>
      <c r="N280" s="3">
        <f t="shared" si="49"/>
        <v>-0.86179582596158</v>
      </c>
      <c r="O280" s="3">
        <f t="shared" si="50"/>
        <v>0.18634237607678153</v>
      </c>
      <c r="P280" s="3">
        <f t="shared" si="51"/>
        <v>0.54645125929065508</v>
      </c>
      <c r="Q280" s="3">
        <f t="shared" si="52"/>
        <v>-0.60431016236827684</v>
      </c>
      <c r="R280" s="3">
        <f t="shared" si="54"/>
        <v>0.45354874070934492</v>
      </c>
    </row>
    <row r="281" spans="1:18" x14ac:dyDescent="0.3">
      <c r="A281" s="2">
        <v>277</v>
      </c>
      <c r="B281" s="2">
        <v>0</v>
      </c>
      <c r="C281" s="2">
        <v>18</v>
      </c>
      <c r="D281" s="2">
        <f t="shared" si="53"/>
        <v>324</v>
      </c>
      <c r="E281" s="2">
        <v>66.590900000000005</v>
      </c>
      <c r="F281" s="2">
        <v>161.80690000000001</v>
      </c>
      <c r="G281" s="2">
        <v>0.60599700000000001</v>
      </c>
      <c r="H281" s="2">
        <v>4</v>
      </c>
      <c r="I281" s="3">
        <f t="shared" si="44"/>
        <v>-1.5647611225041334</v>
      </c>
      <c r="J281" s="3">
        <f t="shared" si="45"/>
        <v>-1.3846556421919931</v>
      </c>
      <c r="K281" s="3">
        <f t="shared" si="46"/>
        <v>-0.82924942998223594</v>
      </c>
      <c r="L281" s="3">
        <f t="shared" si="47"/>
        <v>-1.8145609167982182</v>
      </c>
      <c r="M281" s="3">
        <f t="shared" si="48"/>
        <v>0.40344262749306969</v>
      </c>
      <c r="N281" s="3">
        <f t="shared" si="49"/>
        <v>0.31391471423157125</v>
      </c>
      <c r="O281" s="3">
        <f t="shared" si="50"/>
        <v>0.14975438228889734</v>
      </c>
      <c r="P281" s="3">
        <f t="shared" si="51"/>
        <v>0.53736878446369485</v>
      </c>
      <c r="Q281" s="3">
        <f t="shared" si="52"/>
        <v>-0.77082505299983428</v>
      </c>
      <c r="R281" s="3">
        <f t="shared" si="54"/>
        <v>-0.53736878446369485</v>
      </c>
    </row>
    <row r="282" spans="1:18" x14ac:dyDescent="0.3">
      <c r="A282" s="2">
        <v>278</v>
      </c>
      <c r="B282" s="2">
        <v>1</v>
      </c>
      <c r="C282" s="2">
        <v>21</v>
      </c>
      <c r="D282" s="2">
        <f t="shared" si="53"/>
        <v>441</v>
      </c>
      <c r="E282" s="2">
        <v>74.917199999999994</v>
      </c>
      <c r="F282" s="2">
        <v>173.06809999999999</v>
      </c>
      <c r="G282" s="2">
        <v>0.84944600000000003</v>
      </c>
      <c r="H282" s="2">
        <v>4</v>
      </c>
      <c r="I282" s="3">
        <f t="shared" si="44"/>
        <v>-1.1059317443873902</v>
      </c>
      <c r="J282" s="3">
        <f t="shared" si="45"/>
        <v>-1.0705085555568892</v>
      </c>
      <c r="K282" s="3">
        <f t="shared" si="46"/>
        <v>1.2418224341254483E-2</v>
      </c>
      <c r="L282" s="3">
        <f t="shared" si="47"/>
        <v>-0.67579147580446886</v>
      </c>
      <c r="M282" s="3">
        <f t="shared" si="48"/>
        <v>1.2541145226076067</v>
      </c>
      <c r="N282" s="3">
        <f t="shared" si="49"/>
        <v>0.31391471423157125</v>
      </c>
      <c r="O282" s="3">
        <f t="shared" si="50"/>
        <v>9.800062661332283E-2</v>
      </c>
      <c r="P282" s="3">
        <f t="shared" si="51"/>
        <v>0.52448056692453804</v>
      </c>
      <c r="Q282" s="3">
        <f t="shared" si="52"/>
        <v>-0.64534690250036109</v>
      </c>
      <c r="R282" s="3">
        <f t="shared" si="54"/>
        <v>0.47551943307546196</v>
      </c>
    </row>
    <row r="283" spans="1:18" x14ac:dyDescent="0.3">
      <c r="A283" s="2">
        <v>279</v>
      </c>
      <c r="B283" s="2">
        <v>0</v>
      </c>
      <c r="C283" s="2">
        <v>18</v>
      </c>
      <c r="D283" s="2">
        <f t="shared" si="53"/>
        <v>324</v>
      </c>
      <c r="E283" s="2">
        <v>81.947599999999994</v>
      </c>
      <c r="F283" s="2">
        <v>161.64340000000001</v>
      </c>
      <c r="G283" s="2">
        <v>4.4997000000000002E-2</v>
      </c>
      <c r="H283" s="2">
        <v>3</v>
      </c>
      <c r="I283" s="3">
        <f t="shared" si="44"/>
        <v>-1.5647611225041334</v>
      </c>
      <c r="J283" s="3">
        <f t="shared" si="45"/>
        <v>-1.3846556421919931</v>
      </c>
      <c r="K283" s="3">
        <f t="shared" si="46"/>
        <v>0.72308926393337525</v>
      </c>
      <c r="L283" s="3">
        <f t="shared" si="47"/>
        <v>-1.8310945725012053</v>
      </c>
      <c r="M283" s="3">
        <f t="shared" si="48"/>
        <v>-1.5568321452899576</v>
      </c>
      <c r="N283" s="3">
        <f t="shared" si="49"/>
        <v>-0.27394055586500432</v>
      </c>
      <c r="O283" s="3">
        <f t="shared" si="50"/>
        <v>0.34265073685851788</v>
      </c>
      <c r="P283" s="3">
        <f t="shared" si="51"/>
        <v>0.58483427456913883</v>
      </c>
      <c r="Q283" s="3">
        <f t="shared" si="52"/>
        <v>-0.87907750007817409</v>
      </c>
      <c r="R283" s="3">
        <f t="shared" si="54"/>
        <v>-0.58483427456913883</v>
      </c>
    </row>
    <row r="284" spans="1:18" x14ac:dyDescent="0.3">
      <c r="A284" s="2">
        <v>280</v>
      </c>
      <c r="B284" s="2">
        <v>0</v>
      </c>
      <c r="C284" s="2">
        <v>31</v>
      </c>
      <c r="D284" s="2">
        <f t="shared" si="53"/>
        <v>961</v>
      </c>
      <c r="E284" s="2">
        <v>64.3917</v>
      </c>
      <c r="F284" s="2">
        <v>191.71250000000001</v>
      </c>
      <c r="G284" s="2">
        <v>0.734151</v>
      </c>
      <c r="H284" s="2">
        <v>6</v>
      </c>
      <c r="I284" s="3">
        <f t="shared" si="44"/>
        <v>0.42349951600175367</v>
      </c>
      <c r="J284" s="3">
        <f t="shared" si="45"/>
        <v>0.32570071837690606</v>
      </c>
      <c r="K284" s="3">
        <f t="shared" si="46"/>
        <v>-1.0515565178109507</v>
      </c>
      <c r="L284" s="3">
        <f t="shared" si="47"/>
        <v>1.2095913400290064</v>
      </c>
      <c r="M284" s="3">
        <f t="shared" si="48"/>
        <v>0.85124486141684164</v>
      </c>
      <c r="N284" s="3">
        <f t="shared" si="49"/>
        <v>1.4896252544247224</v>
      </c>
      <c r="O284" s="3">
        <f t="shared" si="50"/>
        <v>-0.11307502669589407</v>
      </c>
      <c r="P284" s="3">
        <f t="shared" si="51"/>
        <v>0.47176132513405022</v>
      </c>
      <c r="Q284" s="3">
        <f t="shared" si="52"/>
        <v>-0.63820706168228247</v>
      </c>
      <c r="R284" s="3">
        <f t="shared" si="54"/>
        <v>-0.47176132513405022</v>
      </c>
    </row>
    <row r="285" spans="1:18" x14ac:dyDescent="0.3">
      <c r="A285" s="2">
        <v>281</v>
      </c>
      <c r="B285" s="2">
        <v>1</v>
      </c>
      <c r="C285" s="2">
        <v>38</v>
      </c>
      <c r="D285" s="2">
        <f t="shared" si="53"/>
        <v>1444</v>
      </c>
      <c r="E285" s="2">
        <v>40.191899999999997</v>
      </c>
      <c r="F285" s="2">
        <v>195.85650000000001</v>
      </c>
      <c r="G285" s="2">
        <v>0.34131899999999998</v>
      </c>
      <c r="H285" s="2">
        <v>6</v>
      </c>
      <c r="I285" s="3">
        <f t="shared" si="44"/>
        <v>1.4941013982741542</v>
      </c>
      <c r="J285" s="3">
        <f t="shared" si="45"/>
        <v>1.6225643324346428</v>
      </c>
      <c r="K285" s="3">
        <f t="shared" si="46"/>
        <v>-3.497803818664587</v>
      </c>
      <c r="L285" s="3">
        <f t="shared" si="47"/>
        <v>1.628646197724289</v>
      </c>
      <c r="M285" s="3">
        <f t="shared" si="48"/>
        <v>-0.52140872065428534</v>
      </c>
      <c r="N285" s="3">
        <f t="shared" si="49"/>
        <v>1.4896252544247224</v>
      </c>
      <c r="O285" s="3">
        <f t="shared" si="50"/>
        <v>-0.20895116626197152</v>
      </c>
      <c r="P285" s="3">
        <f t="shared" si="51"/>
        <v>0.44795144333285924</v>
      </c>
      <c r="Q285" s="3">
        <f t="shared" si="52"/>
        <v>-0.80307043785900067</v>
      </c>
      <c r="R285" s="3">
        <f t="shared" si="54"/>
        <v>0.5520485566671407</v>
      </c>
    </row>
    <row r="286" spans="1:18" x14ac:dyDescent="0.3">
      <c r="A286" s="2">
        <v>282</v>
      </c>
      <c r="B286" s="2">
        <v>0</v>
      </c>
      <c r="C286" s="2">
        <v>33</v>
      </c>
      <c r="D286" s="2">
        <f t="shared" si="53"/>
        <v>1089</v>
      </c>
      <c r="E286" s="2">
        <v>66.297799999999995</v>
      </c>
      <c r="F286" s="2">
        <v>187.79570000000001</v>
      </c>
      <c r="G286" s="2">
        <v>0.47852800000000001</v>
      </c>
      <c r="H286" s="2">
        <v>5</v>
      </c>
      <c r="I286" s="3">
        <f t="shared" si="44"/>
        <v>0.72938576807958244</v>
      </c>
      <c r="J286" s="3">
        <f t="shared" si="45"/>
        <v>0.66938300119137872</v>
      </c>
      <c r="K286" s="3">
        <f t="shared" si="46"/>
        <v>-0.85887757087101291</v>
      </c>
      <c r="L286" s="3">
        <f t="shared" si="47"/>
        <v>0.81351169074790652</v>
      </c>
      <c r="M286" s="3">
        <f t="shared" si="48"/>
        <v>-4.1966044542366507E-2</v>
      </c>
      <c r="N286" s="3">
        <f t="shared" si="49"/>
        <v>0.90176998432814681</v>
      </c>
      <c r="O286" s="3">
        <f t="shared" si="50"/>
        <v>-7.5107807278190719E-2</v>
      </c>
      <c r="P286" s="3">
        <f t="shared" si="51"/>
        <v>0.48123187022181346</v>
      </c>
      <c r="Q286" s="3">
        <f t="shared" si="52"/>
        <v>-0.65629825907793182</v>
      </c>
      <c r="R286" s="3">
        <f t="shared" si="54"/>
        <v>-0.48123187022181346</v>
      </c>
    </row>
    <row r="287" spans="1:18" x14ac:dyDescent="0.3">
      <c r="A287" s="2">
        <v>283</v>
      </c>
      <c r="B287" s="2">
        <v>0</v>
      </c>
      <c r="C287" s="2">
        <v>37</v>
      </c>
      <c r="D287" s="2">
        <f t="shared" si="53"/>
        <v>1369</v>
      </c>
      <c r="E287" s="2">
        <v>87.056299999999993</v>
      </c>
      <c r="F287" s="2">
        <v>170.13210000000001</v>
      </c>
      <c r="G287" s="2">
        <v>0.92886000000000002</v>
      </c>
      <c r="H287" s="2">
        <v>3</v>
      </c>
      <c r="I287" s="3">
        <f t="shared" si="44"/>
        <v>1.34115827223524</v>
      </c>
      <c r="J287" s="3">
        <f t="shared" si="45"/>
        <v>1.4211879948480377</v>
      </c>
      <c r="K287" s="3">
        <f t="shared" si="46"/>
        <v>1.2395044238053976</v>
      </c>
      <c r="L287" s="3">
        <f t="shared" si="47"/>
        <v>-0.97268941552293864</v>
      </c>
      <c r="M287" s="3">
        <f t="shared" si="48"/>
        <v>1.5316069661116909</v>
      </c>
      <c r="N287" s="3">
        <f t="shared" si="49"/>
        <v>-0.27394055586500432</v>
      </c>
      <c r="O287" s="3">
        <f t="shared" si="50"/>
        <v>-2.7204473443125436E-2</v>
      </c>
      <c r="P287" s="3">
        <f t="shared" si="51"/>
        <v>0.49319930105773091</v>
      </c>
      <c r="Q287" s="3">
        <f t="shared" si="52"/>
        <v>-0.67963745140771203</v>
      </c>
      <c r="R287" s="3">
        <f t="shared" si="54"/>
        <v>-0.49319930105773091</v>
      </c>
    </row>
    <row r="288" spans="1:18" x14ac:dyDescent="0.3">
      <c r="A288" s="2">
        <v>284</v>
      </c>
      <c r="B288" s="2">
        <v>1</v>
      </c>
      <c r="C288" s="2">
        <v>25</v>
      </c>
      <c r="D288" s="2">
        <f t="shared" si="53"/>
        <v>625</v>
      </c>
      <c r="E288" s="2">
        <v>78.431399999999996</v>
      </c>
      <c r="F288" s="2">
        <v>194.8202</v>
      </c>
      <c r="G288" s="2">
        <v>0.33197199999999999</v>
      </c>
      <c r="H288" s="2">
        <v>3</v>
      </c>
      <c r="I288" s="3">
        <f t="shared" si="44"/>
        <v>-0.49415924023173263</v>
      </c>
      <c r="J288" s="3">
        <f t="shared" si="45"/>
        <v>-0.57646527401108472</v>
      </c>
      <c r="K288" s="3">
        <f t="shared" si="46"/>
        <v>0.36765265870268948</v>
      </c>
      <c r="L288" s="3">
        <f t="shared" si="47"/>
        <v>1.5238521463175261</v>
      </c>
      <c r="M288" s="3">
        <f t="shared" si="48"/>
        <v>-0.55406948411454005</v>
      </c>
      <c r="N288" s="3">
        <f t="shared" si="49"/>
        <v>-0.27394055586500432</v>
      </c>
      <c r="O288" s="3">
        <f t="shared" si="50"/>
        <v>0.15751301572660223</v>
      </c>
      <c r="P288" s="3">
        <f t="shared" si="51"/>
        <v>0.5392970397320328</v>
      </c>
      <c r="Q288" s="3">
        <f t="shared" si="52"/>
        <v>-0.61748876574722911</v>
      </c>
      <c r="R288" s="3">
        <f t="shared" si="54"/>
        <v>0.4607029602679672</v>
      </c>
    </row>
    <row r="289" spans="1:18" x14ac:dyDescent="0.3">
      <c r="A289" s="2">
        <v>285</v>
      </c>
      <c r="B289" s="2">
        <v>1</v>
      </c>
      <c r="C289" s="2">
        <v>24</v>
      </c>
      <c r="D289" s="2">
        <f t="shared" si="53"/>
        <v>576</v>
      </c>
      <c r="E289" s="2">
        <v>88.238699999999994</v>
      </c>
      <c r="F289" s="2">
        <v>177.4675</v>
      </c>
      <c r="G289" s="2">
        <v>0.465337</v>
      </c>
      <c r="H289" s="2">
        <v>6</v>
      </c>
      <c r="I289" s="3">
        <f t="shared" si="44"/>
        <v>-0.64710236627064699</v>
      </c>
      <c r="J289" s="3">
        <f t="shared" si="45"/>
        <v>-0.70803114790099997</v>
      </c>
      <c r="K289" s="3">
        <f t="shared" si="46"/>
        <v>1.3590278417067581</v>
      </c>
      <c r="L289" s="3">
        <f t="shared" si="47"/>
        <v>-0.23090973329852552</v>
      </c>
      <c r="M289" s="3">
        <f t="shared" si="48"/>
        <v>-8.8058708584756756E-2</v>
      </c>
      <c r="N289" s="3">
        <f t="shared" si="49"/>
        <v>1.4896252544247224</v>
      </c>
      <c r="O289" s="3">
        <f t="shared" si="50"/>
        <v>0.15919924911215561</v>
      </c>
      <c r="P289" s="3">
        <f t="shared" si="51"/>
        <v>0.53971596624115059</v>
      </c>
      <c r="Q289" s="3">
        <f t="shared" si="52"/>
        <v>-0.61671226624657793</v>
      </c>
      <c r="R289" s="3">
        <f t="shared" si="54"/>
        <v>0.46028403375884941</v>
      </c>
    </row>
    <row r="290" spans="1:18" x14ac:dyDescent="0.3">
      <c r="A290" s="2">
        <v>286</v>
      </c>
      <c r="B290" s="2">
        <v>1</v>
      </c>
      <c r="C290" s="2">
        <v>20</v>
      </c>
      <c r="D290" s="2">
        <f t="shared" si="53"/>
        <v>400</v>
      </c>
      <c r="E290" s="2">
        <v>63.681800000000003</v>
      </c>
      <c r="F290" s="2">
        <v>167.8554</v>
      </c>
      <c r="G290" s="2">
        <v>1.3682E-2</v>
      </c>
      <c r="H290" s="2">
        <v>4</v>
      </c>
      <c r="I290" s="3">
        <f t="shared" si="44"/>
        <v>-1.2588748704263044</v>
      </c>
      <c r="J290" s="3">
        <f t="shared" si="45"/>
        <v>-1.1805942867708998</v>
      </c>
      <c r="K290" s="3">
        <f t="shared" si="46"/>
        <v>-1.1233170678516944</v>
      </c>
      <c r="L290" s="3">
        <f t="shared" si="47"/>
        <v>-1.2029167790641671</v>
      </c>
      <c r="M290" s="3">
        <f t="shared" si="48"/>
        <v>-1.6662546132216876</v>
      </c>
      <c r="N290" s="3">
        <f t="shared" si="49"/>
        <v>0.31391471423157125</v>
      </c>
      <c r="O290" s="3">
        <f t="shared" si="50"/>
        <v>0.16570782331004616</v>
      </c>
      <c r="P290" s="3">
        <f t="shared" si="51"/>
        <v>0.54133241988884995</v>
      </c>
      <c r="Q290" s="3">
        <f t="shared" si="52"/>
        <v>-0.61372173432749177</v>
      </c>
      <c r="R290" s="3">
        <f t="shared" si="54"/>
        <v>0.45866758011115005</v>
      </c>
    </row>
    <row r="291" spans="1:18" x14ac:dyDescent="0.3">
      <c r="A291" s="2">
        <v>287</v>
      </c>
      <c r="B291" s="2">
        <v>0</v>
      </c>
      <c r="C291" s="2">
        <v>34</v>
      </c>
      <c r="D291" s="2">
        <f t="shared" si="53"/>
        <v>1156</v>
      </c>
      <c r="E291" s="2">
        <v>58.606000000000002</v>
      </c>
      <c r="F291" s="2">
        <v>170.35599999999999</v>
      </c>
      <c r="G291" s="2">
        <v>8.1599000000000005E-2</v>
      </c>
      <c r="H291" s="2">
        <v>3</v>
      </c>
      <c r="I291" s="3">
        <f t="shared" si="44"/>
        <v>0.8823288941184968</v>
      </c>
      <c r="J291" s="3">
        <f t="shared" si="45"/>
        <v>0.84927919610207925</v>
      </c>
      <c r="K291" s="3">
        <f t="shared" si="46"/>
        <v>-1.6364065169245334</v>
      </c>
      <c r="L291" s="3">
        <f t="shared" si="47"/>
        <v>-0.95004791392111232</v>
      </c>
      <c r="M291" s="3">
        <f t="shared" si="48"/>
        <v>-1.4289355726813935</v>
      </c>
      <c r="N291" s="3">
        <f t="shared" si="49"/>
        <v>-0.27394055586500432</v>
      </c>
      <c r="O291" s="3">
        <f t="shared" si="50"/>
        <v>-9.4250065592950433E-2</v>
      </c>
      <c r="P291" s="3">
        <f t="shared" si="51"/>
        <v>0.47645491042131477</v>
      </c>
      <c r="Q291" s="3">
        <f t="shared" si="52"/>
        <v>-0.64713212138025322</v>
      </c>
      <c r="R291" s="3">
        <f t="shared" si="54"/>
        <v>-0.47645491042131477</v>
      </c>
    </row>
    <row r="292" spans="1:18" x14ac:dyDescent="0.3">
      <c r="A292" s="2">
        <v>288</v>
      </c>
      <c r="B292" s="2">
        <v>0</v>
      </c>
      <c r="C292" s="2">
        <v>18</v>
      </c>
      <c r="D292" s="2">
        <f t="shared" si="53"/>
        <v>324</v>
      </c>
      <c r="E292" s="2">
        <v>79.625500000000002</v>
      </c>
      <c r="F292" s="2">
        <v>175.69839999999999</v>
      </c>
      <c r="G292" s="2">
        <v>0.25859199999999999</v>
      </c>
      <c r="H292" s="2">
        <v>5</v>
      </c>
      <c r="I292" s="3">
        <f t="shared" si="44"/>
        <v>-1.5647611225041334</v>
      </c>
      <c r="J292" s="3">
        <f t="shared" si="45"/>
        <v>-1.3846556421919931</v>
      </c>
      <c r="K292" s="3">
        <f t="shared" si="46"/>
        <v>0.4883587761891704</v>
      </c>
      <c r="L292" s="3">
        <f t="shared" si="47"/>
        <v>-0.40980692170314109</v>
      </c>
      <c r="M292" s="3">
        <f t="shared" si="48"/>
        <v>-0.81047761749567826</v>
      </c>
      <c r="N292" s="3">
        <f t="shared" si="49"/>
        <v>0.90176998432814681</v>
      </c>
      <c r="O292" s="3">
        <f t="shared" si="50"/>
        <v>0.31209016689686292</v>
      </c>
      <c r="P292" s="3">
        <f t="shared" si="51"/>
        <v>0.5773953650010667</v>
      </c>
      <c r="Q292" s="3">
        <f t="shared" si="52"/>
        <v>-0.86131820604458309</v>
      </c>
      <c r="R292" s="3">
        <f t="shared" si="54"/>
        <v>-0.5773953650010667</v>
      </c>
    </row>
    <row r="293" spans="1:18" x14ac:dyDescent="0.3">
      <c r="A293" s="2">
        <v>289</v>
      </c>
      <c r="B293" s="2">
        <v>0</v>
      </c>
      <c r="C293" s="2">
        <v>33</v>
      </c>
      <c r="D293" s="2">
        <f t="shared" si="53"/>
        <v>1089</v>
      </c>
      <c r="E293" s="2">
        <v>77.400199999999998</v>
      </c>
      <c r="F293" s="2">
        <v>180.4958</v>
      </c>
      <c r="G293" s="2">
        <v>2.7851999999999998E-2</v>
      </c>
      <c r="H293" s="2">
        <v>3</v>
      </c>
      <c r="I293" s="3">
        <f t="shared" si="44"/>
        <v>0.72938576807958244</v>
      </c>
      <c r="J293" s="3">
        <f t="shared" si="45"/>
        <v>0.66938300119137872</v>
      </c>
      <c r="K293" s="3">
        <f t="shared" si="46"/>
        <v>0.26341335851672654</v>
      </c>
      <c r="L293" s="3">
        <f t="shared" si="47"/>
        <v>7.5321884838207787E-2</v>
      </c>
      <c r="M293" s="3">
        <f t="shared" si="48"/>
        <v>-1.6167410775169897</v>
      </c>
      <c r="N293" s="3">
        <f t="shared" si="49"/>
        <v>-0.27394055586500432</v>
      </c>
      <c r="O293" s="3">
        <f t="shared" si="50"/>
        <v>6.4681668940618026E-2</v>
      </c>
      <c r="P293" s="3">
        <f t="shared" si="51"/>
        <v>0.51616478188694237</v>
      </c>
      <c r="Q293" s="3">
        <f t="shared" si="52"/>
        <v>-0.72601088867873498</v>
      </c>
      <c r="R293" s="3">
        <f t="shared" si="54"/>
        <v>-0.51616478188694237</v>
      </c>
    </row>
    <row r="294" spans="1:18" x14ac:dyDescent="0.3">
      <c r="A294" s="2">
        <v>290</v>
      </c>
      <c r="B294" s="2">
        <v>1</v>
      </c>
      <c r="C294" s="2">
        <v>29</v>
      </c>
      <c r="D294" s="2">
        <f t="shared" si="53"/>
        <v>841</v>
      </c>
      <c r="E294" s="2">
        <v>78.055499999999995</v>
      </c>
      <c r="F294" s="2">
        <v>178.38659999999999</v>
      </c>
      <c r="G294" s="2">
        <v>0.63137500000000002</v>
      </c>
      <c r="H294" s="2">
        <v>5</v>
      </c>
      <c r="I294" s="3">
        <f t="shared" si="44"/>
        <v>0.1176132639239249</v>
      </c>
      <c r="J294" s="3">
        <f t="shared" si="45"/>
        <v>3.4985782383379449E-3</v>
      </c>
      <c r="K294" s="3">
        <f t="shared" si="46"/>
        <v>0.32965464382691012</v>
      </c>
      <c r="L294" s="3">
        <f t="shared" si="47"/>
        <v>-0.13796732989415106</v>
      </c>
      <c r="M294" s="3">
        <f t="shared" si="48"/>
        <v>0.4921197276422456</v>
      </c>
      <c r="N294" s="3">
        <f t="shared" si="49"/>
        <v>0.90176998432814681</v>
      </c>
      <c r="O294" s="3">
        <f t="shared" si="50"/>
        <v>-1.0152782724933841E-2</v>
      </c>
      <c r="P294" s="3">
        <f t="shared" si="51"/>
        <v>0.49746182612143058</v>
      </c>
      <c r="Q294" s="3">
        <f t="shared" si="52"/>
        <v>-0.69823645674170509</v>
      </c>
      <c r="R294" s="3">
        <f t="shared" si="54"/>
        <v>0.50253817387856947</v>
      </c>
    </row>
    <row r="295" spans="1:18" x14ac:dyDescent="0.3">
      <c r="A295" s="2">
        <v>291</v>
      </c>
      <c r="B295" s="2">
        <v>0</v>
      </c>
      <c r="C295" s="2">
        <v>36</v>
      </c>
      <c r="D295" s="2">
        <f t="shared" si="53"/>
        <v>1296</v>
      </c>
      <c r="E295" s="2">
        <v>84.33</v>
      </c>
      <c r="F295" s="2">
        <v>165.8733</v>
      </c>
      <c r="G295" s="2">
        <v>0.426398</v>
      </c>
      <c r="H295" s="2">
        <v>3</v>
      </c>
      <c r="I295" s="3">
        <f t="shared" si="44"/>
        <v>1.1882151461963255</v>
      </c>
      <c r="J295" s="3">
        <f t="shared" si="45"/>
        <v>1.2251816929304087</v>
      </c>
      <c r="K295" s="3">
        <f t="shared" si="46"/>
        <v>0.96391520338550762</v>
      </c>
      <c r="L295" s="3">
        <f t="shared" si="47"/>
        <v>-1.4033532253570771</v>
      </c>
      <c r="M295" s="3">
        <f t="shared" si="48"/>
        <v>-0.22412134562111735</v>
      </c>
      <c r="N295" s="3">
        <f t="shared" si="49"/>
        <v>-0.27394055586500432</v>
      </c>
      <c r="O295" s="3">
        <f t="shared" si="50"/>
        <v>1.5622008646776087E-2</v>
      </c>
      <c r="P295" s="3">
        <f t="shared" si="51"/>
        <v>0.50390542273640837</v>
      </c>
      <c r="Q295" s="3">
        <f t="shared" si="52"/>
        <v>-0.7009886904674052</v>
      </c>
      <c r="R295" s="3">
        <f t="shared" si="54"/>
        <v>-0.50390542273640837</v>
      </c>
    </row>
    <row r="296" spans="1:18" x14ac:dyDescent="0.3">
      <c r="A296" s="2">
        <v>292</v>
      </c>
      <c r="B296" s="2">
        <v>0</v>
      </c>
      <c r="C296" s="2">
        <v>39</v>
      </c>
      <c r="D296" s="2">
        <f t="shared" si="53"/>
        <v>1521</v>
      </c>
      <c r="E296" s="2">
        <v>79.216800000000006</v>
      </c>
      <c r="F296" s="2">
        <v>192.13319999999999</v>
      </c>
      <c r="G296" s="2">
        <v>0.54814499999999999</v>
      </c>
      <c r="H296" s="2">
        <v>5</v>
      </c>
      <c r="I296" s="3">
        <f t="shared" si="44"/>
        <v>1.6470445243130687</v>
      </c>
      <c r="J296" s="3">
        <f t="shared" si="45"/>
        <v>1.829310705690224</v>
      </c>
      <c r="K296" s="3">
        <f t="shared" si="46"/>
        <v>0.4470451590576705</v>
      </c>
      <c r="L296" s="3">
        <f t="shared" si="47"/>
        <v>1.2521339024402993</v>
      </c>
      <c r="M296" s="3">
        <f t="shared" si="48"/>
        <v>0.20129322258211829</v>
      </c>
      <c r="N296" s="3">
        <f t="shared" si="49"/>
        <v>0.90176998432814681</v>
      </c>
      <c r="O296" s="3">
        <f t="shared" si="50"/>
        <v>2.6418395573782637E-2</v>
      </c>
      <c r="P296" s="3">
        <f t="shared" si="51"/>
        <v>0.50660421479038376</v>
      </c>
      <c r="Q296" s="3">
        <f t="shared" si="52"/>
        <v>-0.70644361726301763</v>
      </c>
      <c r="R296" s="3">
        <f t="shared" si="54"/>
        <v>-0.50660421479038376</v>
      </c>
    </row>
    <row r="297" spans="1:18" x14ac:dyDescent="0.3">
      <c r="A297" s="2">
        <v>293</v>
      </c>
      <c r="B297" s="2">
        <v>0</v>
      </c>
      <c r="C297" s="2">
        <v>39</v>
      </c>
      <c r="D297" s="2">
        <f t="shared" si="53"/>
        <v>1521</v>
      </c>
      <c r="E297" s="2">
        <v>79.056200000000004</v>
      </c>
      <c r="F297" s="2">
        <v>178.4939</v>
      </c>
      <c r="G297" s="2">
        <v>0.174647</v>
      </c>
      <c r="H297" s="2">
        <v>3</v>
      </c>
      <c r="I297" s="3">
        <f t="shared" si="44"/>
        <v>1.6470445243130687</v>
      </c>
      <c r="J297" s="3">
        <f t="shared" si="45"/>
        <v>1.829310705690224</v>
      </c>
      <c r="K297" s="3">
        <f t="shared" si="46"/>
        <v>0.43081083825679201</v>
      </c>
      <c r="L297" s="3">
        <f t="shared" si="47"/>
        <v>-0.12711680232882586</v>
      </c>
      <c r="M297" s="3">
        <f t="shared" si="48"/>
        <v>-1.1038025119720976</v>
      </c>
      <c r="N297" s="3">
        <f t="shared" si="49"/>
        <v>-0.27394055586500432</v>
      </c>
      <c r="O297" s="3">
        <f t="shared" si="50"/>
        <v>6.5247114518857952E-2</v>
      </c>
      <c r="P297" s="3">
        <f t="shared" si="51"/>
        <v>0.51630599423598833</v>
      </c>
      <c r="Q297" s="3">
        <f t="shared" si="52"/>
        <v>-0.72630279169636747</v>
      </c>
      <c r="R297" s="3">
        <f t="shared" si="54"/>
        <v>-0.51630599423598833</v>
      </c>
    </row>
    <row r="298" spans="1:18" x14ac:dyDescent="0.3">
      <c r="A298" s="2">
        <v>294</v>
      </c>
      <c r="B298" s="2">
        <v>0</v>
      </c>
      <c r="C298" s="2">
        <v>31</v>
      </c>
      <c r="D298" s="2">
        <f t="shared" si="53"/>
        <v>961</v>
      </c>
      <c r="E298" s="2">
        <v>82.150099999999995</v>
      </c>
      <c r="F298" s="2">
        <v>172.86250000000001</v>
      </c>
      <c r="G298" s="2">
        <v>0.29593199999999997</v>
      </c>
      <c r="H298" s="2">
        <v>3</v>
      </c>
      <c r="I298" s="3">
        <f t="shared" si="44"/>
        <v>0.42349951600175367</v>
      </c>
      <c r="J298" s="3">
        <f t="shared" si="45"/>
        <v>0.32570071837690606</v>
      </c>
      <c r="K298" s="3">
        <f t="shared" si="46"/>
        <v>0.74355906444506803</v>
      </c>
      <c r="L298" s="3">
        <f t="shared" si="47"/>
        <v>-0.6965824214468771</v>
      </c>
      <c r="M298" s="3">
        <f t="shared" si="48"/>
        <v>-0.6800022876993892</v>
      </c>
      <c r="N298" s="3">
        <f t="shared" si="49"/>
        <v>-0.27394055586500432</v>
      </c>
      <c r="O298" s="3">
        <f t="shared" si="50"/>
        <v>5.0099408232830163E-2</v>
      </c>
      <c r="P298" s="3">
        <f t="shared" si="51"/>
        <v>0.51252223298547517</v>
      </c>
      <c r="Q298" s="3">
        <f t="shared" si="52"/>
        <v>-0.71851059570827769</v>
      </c>
      <c r="R298" s="3">
        <f t="shared" si="54"/>
        <v>-0.51252223298547517</v>
      </c>
    </row>
    <row r="299" spans="1:18" x14ac:dyDescent="0.3">
      <c r="A299" s="2">
        <v>295</v>
      </c>
      <c r="B299" s="2">
        <v>0</v>
      </c>
      <c r="C299" s="2">
        <v>23</v>
      </c>
      <c r="D299" s="2">
        <f t="shared" si="53"/>
        <v>529</v>
      </c>
      <c r="E299" s="2">
        <v>80.024199999999993</v>
      </c>
      <c r="F299" s="2">
        <v>191.10300000000001</v>
      </c>
      <c r="G299" s="2">
        <v>0.66382399999999997</v>
      </c>
      <c r="H299" s="2">
        <v>2</v>
      </c>
      <c r="I299" s="3">
        <f t="shared" si="44"/>
        <v>-0.80004549230956135</v>
      </c>
      <c r="J299" s="3">
        <f t="shared" si="45"/>
        <v>-0.83422698612193913</v>
      </c>
      <c r="K299" s="3">
        <f t="shared" si="46"/>
        <v>0.52866153897441337</v>
      </c>
      <c r="L299" s="3">
        <f t="shared" si="47"/>
        <v>1.147956703020012</v>
      </c>
      <c r="M299" s="3">
        <f t="shared" si="48"/>
        <v>0.6055046761307239</v>
      </c>
      <c r="N299" s="3">
        <f t="shared" si="49"/>
        <v>-0.86179582596158</v>
      </c>
      <c r="O299" s="3">
        <f t="shared" si="50"/>
        <v>0.16392314125457816</v>
      </c>
      <c r="P299" s="3">
        <f t="shared" si="51"/>
        <v>0.54088926569861728</v>
      </c>
      <c r="Q299" s="3">
        <f t="shared" si="52"/>
        <v>-0.77846384681671377</v>
      </c>
      <c r="R299" s="3">
        <f t="shared" si="54"/>
        <v>-0.54088926569861728</v>
      </c>
    </row>
    <row r="300" spans="1:18" x14ac:dyDescent="0.3">
      <c r="A300" s="2">
        <v>296</v>
      </c>
      <c r="B300" s="2">
        <v>0</v>
      </c>
      <c r="C300" s="2">
        <v>23</v>
      </c>
      <c r="D300" s="2">
        <f t="shared" si="53"/>
        <v>529</v>
      </c>
      <c r="E300" s="2">
        <v>83.5745</v>
      </c>
      <c r="F300" s="2">
        <v>168.16589999999999</v>
      </c>
      <c r="G300" s="2">
        <v>0.96530300000000002</v>
      </c>
      <c r="H300" s="2">
        <v>5</v>
      </c>
      <c r="I300" s="3">
        <f t="shared" si="44"/>
        <v>-0.80004549230956135</v>
      </c>
      <c r="J300" s="3">
        <f t="shared" si="45"/>
        <v>-0.83422698612193913</v>
      </c>
      <c r="K300" s="3">
        <f t="shared" si="46"/>
        <v>0.88754515752583452</v>
      </c>
      <c r="L300" s="3">
        <f t="shared" si="47"/>
        <v>-1.1715180017199631</v>
      </c>
      <c r="M300" s="3">
        <f t="shared" si="48"/>
        <v>1.6589479528220865</v>
      </c>
      <c r="N300" s="3">
        <f t="shared" si="49"/>
        <v>0.90176998432814681</v>
      </c>
      <c r="O300" s="3">
        <f t="shared" si="50"/>
        <v>6.4325210950782669E-2</v>
      </c>
      <c r="P300" s="3">
        <f t="shared" si="51"/>
        <v>0.51607576002001088</v>
      </c>
      <c r="Q300" s="3">
        <f t="shared" si="52"/>
        <v>-0.7258269134844072</v>
      </c>
      <c r="R300" s="3">
        <f t="shared" si="54"/>
        <v>-0.51607576002001088</v>
      </c>
    </row>
    <row r="301" spans="1:18" x14ac:dyDescent="0.3">
      <c r="A301" s="2">
        <v>297</v>
      </c>
      <c r="B301" s="2">
        <v>0</v>
      </c>
      <c r="C301" s="2">
        <v>30</v>
      </c>
      <c r="D301" s="2">
        <f t="shared" si="53"/>
        <v>900</v>
      </c>
      <c r="E301" s="2">
        <v>85.0852</v>
      </c>
      <c r="F301" s="2">
        <v>163.71109999999999</v>
      </c>
      <c r="G301" s="2">
        <v>5.0416999999999997E-2</v>
      </c>
      <c r="H301" s="2">
        <v>5</v>
      </c>
      <c r="I301" s="3">
        <f t="shared" si="44"/>
        <v>0.27055638996283926</v>
      </c>
      <c r="J301" s="3">
        <f t="shared" si="45"/>
        <v>0.16191463047313392</v>
      </c>
      <c r="K301" s="3">
        <f t="shared" si="46"/>
        <v>1.0402549236147935</v>
      </c>
      <c r="L301" s="3">
        <f t="shared" si="47"/>
        <v>-1.6220019737423916</v>
      </c>
      <c r="M301" s="3">
        <f t="shared" si="48"/>
        <v>-1.5378933052391841</v>
      </c>
      <c r="N301" s="3">
        <f t="shared" si="49"/>
        <v>0.90176998432814681</v>
      </c>
      <c r="O301" s="3">
        <f t="shared" si="50"/>
        <v>7.7176633375727999E-2</v>
      </c>
      <c r="P301" s="3">
        <f t="shared" si="51"/>
        <v>0.51928458733647276</v>
      </c>
      <c r="Q301" s="3">
        <f t="shared" si="52"/>
        <v>-0.73247984163902513</v>
      </c>
      <c r="R301" s="3">
        <f t="shared" si="54"/>
        <v>-0.51928458733647276</v>
      </c>
    </row>
    <row r="302" spans="1:18" x14ac:dyDescent="0.3">
      <c r="A302" s="2">
        <v>298</v>
      </c>
      <c r="B302" s="2">
        <v>1</v>
      </c>
      <c r="C302" s="2">
        <v>36</v>
      </c>
      <c r="D302" s="2">
        <f t="shared" si="53"/>
        <v>1296</v>
      </c>
      <c r="E302" s="2">
        <v>90.316900000000004</v>
      </c>
      <c r="F302" s="2">
        <v>192.72489999999999</v>
      </c>
      <c r="G302" s="2">
        <v>0.89038399999999995</v>
      </c>
      <c r="H302" s="2">
        <v>5</v>
      </c>
      <c r="I302" s="3">
        <f t="shared" si="44"/>
        <v>1.1882151461963255</v>
      </c>
      <c r="J302" s="3">
        <f t="shared" si="45"/>
        <v>1.2251816929304087</v>
      </c>
      <c r="K302" s="3">
        <f t="shared" si="46"/>
        <v>1.5691035919457705</v>
      </c>
      <c r="L302" s="3">
        <f t="shared" si="47"/>
        <v>1.3119685451281129</v>
      </c>
      <c r="M302" s="3">
        <f t="shared" si="48"/>
        <v>1.3971621672567893</v>
      </c>
      <c r="N302" s="3">
        <f t="shared" si="49"/>
        <v>0.90176998432814681</v>
      </c>
      <c r="O302" s="3">
        <f t="shared" si="50"/>
        <v>3.2934435686491507E-2</v>
      </c>
      <c r="P302" s="3">
        <f t="shared" si="51"/>
        <v>0.50823286476845031</v>
      </c>
      <c r="Q302" s="3">
        <f t="shared" si="52"/>
        <v>-0.67681554122116028</v>
      </c>
      <c r="R302" s="3">
        <f t="shared" si="54"/>
        <v>0.49176713523154969</v>
      </c>
    </row>
    <row r="303" spans="1:18" x14ac:dyDescent="0.3">
      <c r="A303" s="2">
        <v>299</v>
      </c>
      <c r="B303" s="2">
        <v>1</v>
      </c>
      <c r="C303" s="2">
        <v>39</v>
      </c>
      <c r="D303" s="2">
        <f t="shared" si="53"/>
        <v>1521</v>
      </c>
      <c r="E303" s="2">
        <v>68.508099999999999</v>
      </c>
      <c r="F303" s="2">
        <v>198.91390000000001</v>
      </c>
      <c r="G303" s="2">
        <v>0.57688099999999998</v>
      </c>
      <c r="H303" s="2">
        <v>1</v>
      </c>
      <c r="I303" s="3">
        <f t="shared" si="44"/>
        <v>1.6470445243130687</v>
      </c>
      <c r="J303" s="3">
        <f t="shared" si="45"/>
        <v>1.829310705690224</v>
      </c>
      <c r="K303" s="3">
        <f t="shared" si="46"/>
        <v>-0.63544843471795376</v>
      </c>
      <c r="L303" s="3">
        <f t="shared" si="47"/>
        <v>1.9378205032063245</v>
      </c>
      <c r="M303" s="3">
        <f t="shared" si="48"/>
        <v>0.30170401736053726</v>
      </c>
      <c r="N303" s="3">
        <f t="shared" si="49"/>
        <v>-1.4496510960581555</v>
      </c>
      <c r="O303" s="3">
        <f t="shared" si="50"/>
        <v>-1.3342664818075806E-4</v>
      </c>
      <c r="P303" s="3">
        <f t="shared" si="51"/>
        <v>0.49996664333800434</v>
      </c>
      <c r="Q303" s="3">
        <f t="shared" si="52"/>
        <v>-0.69321389610936945</v>
      </c>
      <c r="R303" s="3">
        <f t="shared" si="54"/>
        <v>0.50003335666199566</v>
      </c>
    </row>
    <row r="304" spans="1:18" x14ac:dyDescent="0.3">
      <c r="A304" s="2">
        <v>300</v>
      </c>
      <c r="B304" s="2">
        <v>1</v>
      </c>
      <c r="C304" s="2">
        <v>25</v>
      </c>
      <c r="D304" s="2">
        <f t="shared" si="53"/>
        <v>625</v>
      </c>
      <c r="E304" s="2">
        <v>79.805599999999998</v>
      </c>
      <c r="F304" s="2">
        <v>175.37899999999999</v>
      </c>
      <c r="G304" s="2">
        <v>0.56391999999999998</v>
      </c>
      <c r="H304" s="2">
        <v>3</v>
      </c>
      <c r="I304" s="3">
        <f t="shared" si="44"/>
        <v>-0.49415924023173263</v>
      </c>
      <c r="J304" s="3">
        <f t="shared" si="45"/>
        <v>-0.57646527401108472</v>
      </c>
      <c r="K304" s="3">
        <f t="shared" si="46"/>
        <v>0.50656426296524826</v>
      </c>
      <c r="L304" s="3">
        <f t="shared" si="47"/>
        <v>-0.44210569620793688</v>
      </c>
      <c r="M304" s="3">
        <f t="shared" si="48"/>
        <v>0.25641503103247876</v>
      </c>
      <c r="N304" s="3">
        <f t="shared" si="49"/>
        <v>-0.27394055586500432</v>
      </c>
      <c r="O304" s="3">
        <f t="shared" si="50"/>
        <v>8.6605992509617341E-2</v>
      </c>
      <c r="P304" s="3">
        <f t="shared" si="51"/>
        <v>0.52163797500527886</v>
      </c>
      <c r="Q304" s="3">
        <f t="shared" si="52"/>
        <v>-0.6507814661784288</v>
      </c>
      <c r="R304" s="3">
        <f t="shared" si="54"/>
        <v>0.47836202499472114</v>
      </c>
    </row>
    <row r="305" spans="1:18" x14ac:dyDescent="0.3">
      <c r="A305" s="2">
        <v>301</v>
      </c>
      <c r="B305" s="2">
        <v>0</v>
      </c>
      <c r="C305" s="2">
        <v>19</v>
      </c>
      <c r="D305" s="2">
        <f t="shared" si="53"/>
        <v>361</v>
      </c>
      <c r="E305" s="2">
        <v>71.296800000000005</v>
      </c>
      <c r="F305" s="2">
        <v>179.5403</v>
      </c>
      <c r="G305" s="2">
        <v>0.50027900000000003</v>
      </c>
      <c r="H305" s="2">
        <v>5</v>
      </c>
      <c r="I305" s="3">
        <f t="shared" si="44"/>
        <v>-1.4118179964652189</v>
      </c>
      <c r="J305" s="3">
        <f t="shared" si="45"/>
        <v>-1.2853099823159346</v>
      </c>
      <c r="K305" s="3">
        <f t="shared" si="46"/>
        <v>-0.35355148317742247</v>
      </c>
      <c r="L305" s="3">
        <f t="shared" si="47"/>
        <v>-2.1301405829707791E-2</v>
      </c>
      <c r="M305" s="3">
        <f t="shared" si="48"/>
        <v>3.4037407476891365E-2</v>
      </c>
      <c r="N305" s="3">
        <f t="shared" si="49"/>
        <v>0.90176998432814681</v>
      </c>
      <c r="O305" s="3">
        <f t="shared" si="50"/>
        <v>0.19549141904878856</v>
      </c>
      <c r="P305" s="3">
        <f t="shared" si="51"/>
        <v>0.54871779991049863</v>
      </c>
      <c r="Q305" s="3">
        <f t="shared" si="52"/>
        <v>-0.79566241434181328</v>
      </c>
      <c r="R305" s="3">
        <f t="shared" si="54"/>
        <v>-0.54871779991049863</v>
      </c>
    </row>
    <row r="306" spans="1:18" x14ac:dyDescent="0.3">
      <c r="A306" s="2">
        <v>302</v>
      </c>
      <c r="B306" s="2">
        <v>0</v>
      </c>
      <c r="C306" s="2">
        <v>38</v>
      </c>
      <c r="D306" s="2">
        <f t="shared" si="53"/>
        <v>1444</v>
      </c>
      <c r="E306" s="2">
        <v>66.664400000000001</v>
      </c>
      <c r="F306" s="2">
        <v>168.5334</v>
      </c>
      <c r="G306" s="2">
        <v>6.9393999999999997E-2</v>
      </c>
      <c r="H306" s="2">
        <v>6</v>
      </c>
      <c r="I306" s="3">
        <f t="shared" si="44"/>
        <v>1.4941013982741542</v>
      </c>
      <c r="J306" s="3">
        <f t="shared" si="45"/>
        <v>1.6225643324346428</v>
      </c>
      <c r="K306" s="3">
        <f t="shared" si="46"/>
        <v>-0.8218196505372517</v>
      </c>
      <c r="L306" s="3">
        <f t="shared" si="47"/>
        <v>-1.1343551976169179</v>
      </c>
      <c r="M306" s="3">
        <f t="shared" si="48"/>
        <v>-1.4715829053049532</v>
      </c>
      <c r="N306" s="3">
        <f t="shared" si="49"/>
        <v>1.4896252544247224</v>
      </c>
      <c r="O306" s="3">
        <f t="shared" si="50"/>
        <v>-5.7176000464073215E-2</v>
      </c>
      <c r="P306" s="3">
        <f t="shared" si="51"/>
        <v>0.48570989264846526</v>
      </c>
      <c r="Q306" s="3">
        <f t="shared" si="52"/>
        <v>-0.66496776155730375</v>
      </c>
      <c r="R306" s="3">
        <f t="shared" si="54"/>
        <v>-0.48570989264846526</v>
      </c>
    </row>
    <row r="307" spans="1:18" x14ac:dyDescent="0.3">
      <c r="A307" s="2">
        <v>303</v>
      </c>
      <c r="B307" s="2">
        <v>1</v>
      </c>
      <c r="C307" s="2">
        <v>18</v>
      </c>
      <c r="D307" s="2">
        <f t="shared" si="53"/>
        <v>324</v>
      </c>
      <c r="E307" s="2">
        <v>68.104600000000005</v>
      </c>
      <c r="F307" s="2">
        <v>180.0549</v>
      </c>
      <c r="G307" s="2">
        <v>8.9876999999999999E-2</v>
      </c>
      <c r="H307" s="2">
        <v>1</v>
      </c>
      <c r="I307" s="3">
        <f t="shared" si="44"/>
        <v>-1.5647611225041334</v>
      </c>
      <c r="J307" s="3">
        <f t="shared" si="45"/>
        <v>-1.3846556421919931</v>
      </c>
      <c r="K307" s="3">
        <f t="shared" si="46"/>
        <v>-0.67623640758940018</v>
      </c>
      <c r="L307" s="3">
        <f t="shared" si="47"/>
        <v>3.0736632242201641E-2</v>
      </c>
      <c r="M307" s="3">
        <f t="shared" si="48"/>
        <v>-1.4000101634673154</v>
      </c>
      <c r="N307" s="3">
        <f t="shared" si="49"/>
        <v>-1.4496510960581555</v>
      </c>
      <c r="O307" s="3">
        <f t="shared" si="50"/>
        <v>0.30379673068867385</v>
      </c>
      <c r="P307" s="3">
        <f t="shared" si="51"/>
        <v>0.5753703958170886</v>
      </c>
      <c r="Q307" s="3">
        <f t="shared" si="52"/>
        <v>-0.55274127893264458</v>
      </c>
      <c r="R307" s="3">
        <f t="shared" si="54"/>
        <v>0.4246296041829114</v>
      </c>
    </row>
    <row r="308" spans="1:18" x14ac:dyDescent="0.3">
      <c r="A308" s="2">
        <v>304</v>
      </c>
      <c r="B308" s="2">
        <v>0</v>
      </c>
      <c r="C308" s="2">
        <v>32</v>
      </c>
      <c r="D308" s="2">
        <f t="shared" si="53"/>
        <v>1024</v>
      </c>
      <c r="E308" s="2">
        <v>79.949600000000004</v>
      </c>
      <c r="F308" s="2">
        <v>175.24289999999999</v>
      </c>
      <c r="G308" s="2">
        <v>0.600912</v>
      </c>
      <c r="H308" s="2">
        <v>2</v>
      </c>
      <c r="I308" s="3">
        <f t="shared" si="44"/>
        <v>0.57644264204066809</v>
      </c>
      <c r="J308" s="3">
        <f t="shared" si="45"/>
        <v>0.49485684194965435</v>
      </c>
      <c r="K308" s="3">
        <f t="shared" si="46"/>
        <v>0.52112056555134145</v>
      </c>
      <c r="L308" s="3">
        <f t="shared" si="47"/>
        <v>-0.45586857413562204</v>
      </c>
      <c r="M308" s="3">
        <f t="shared" si="48"/>
        <v>0.38567436150447482</v>
      </c>
      <c r="N308" s="3">
        <f t="shared" si="49"/>
        <v>-0.86179582596158</v>
      </c>
      <c r="O308" s="3">
        <f t="shared" si="50"/>
        <v>-2.8828517176068234E-3</v>
      </c>
      <c r="P308" s="3">
        <f t="shared" si="51"/>
        <v>0.49927928756974166</v>
      </c>
      <c r="Q308" s="3">
        <f t="shared" si="52"/>
        <v>-0.69170679355503528</v>
      </c>
      <c r="R308" s="3">
        <f t="shared" si="54"/>
        <v>-0.49927928756974166</v>
      </c>
    </row>
    <row r="309" spans="1:18" x14ac:dyDescent="0.3">
      <c r="A309" s="2">
        <v>305</v>
      </c>
      <c r="B309" s="2">
        <v>1</v>
      </c>
      <c r="C309" s="2">
        <v>18</v>
      </c>
      <c r="D309" s="2">
        <f t="shared" si="53"/>
        <v>324</v>
      </c>
      <c r="E309" s="2">
        <v>79.182500000000005</v>
      </c>
      <c r="F309" s="2">
        <v>178.9787</v>
      </c>
      <c r="G309" s="2">
        <v>0.34095900000000001</v>
      </c>
      <c r="H309" s="2">
        <v>5</v>
      </c>
      <c r="I309" s="3">
        <f t="shared" si="44"/>
        <v>-1.5647611225041334</v>
      </c>
      <c r="J309" s="3">
        <f t="shared" si="45"/>
        <v>-1.3846556421919931</v>
      </c>
      <c r="K309" s="3">
        <f t="shared" si="46"/>
        <v>0.44357792865001078</v>
      </c>
      <c r="L309" s="3">
        <f t="shared" si="47"/>
        <v>-7.8092237895747776E-2</v>
      </c>
      <c r="M309" s="3">
        <f t="shared" si="48"/>
        <v>-0.52266665098976095</v>
      </c>
      <c r="N309" s="3">
        <f t="shared" si="49"/>
        <v>0.90176998432814681</v>
      </c>
      <c r="O309" s="3">
        <f t="shared" si="50"/>
        <v>0.30461092771804682</v>
      </c>
      <c r="P309" s="3">
        <f t="shared" si="51"/>
        <v>0.57556930765068126</v>
      </c>
      <c r="Q309" s="3">
        <f t="shared" si="52"/>
        <v>-0.55239562774870543</v>
      </c>
      <c r="R309" s="3">
        <f t="shared" si="54"/>
        <v>0.42443069234931874</v>
      </c>
    </row>
    <row r="310" spans="1:18" x14ac:dyDescent="0.3">
      <c r="A310" s="2">
        <v>306</v>
      </c>
      <c r="B310" s="2">
        <v>0</v>
      </c>
      <c r="C310" s="2">
        <v>22</v>
      </c>
      <c r="D310" s="2">
        <f t="shared" si="53"/>
        <v>484</v>
      </c>
      <c r="E310" s="2">
        <v>79.004099999999994</v>
      </c>
      <c r="F310" s="2">
        <v>184.0926</v>
      </c>
      <c r="G310" s="2">
        <v>0.91726799999999997</v>
      </c>
      <c r="H310" s="2">
        <v>5</v>
      </c>
      <c r="I310" s="3">
        <f t="shared" si="44"/>
        <v>-0.9529886183484757</v>
      </c>
      <c r="J310" s="3">
        <f t="shared" si="45"/>
        <v>-0.9550527886739022</v>
      </c>
      <c r="K310" s="3">
        <f t="shared" si="46"/>
        <v>0.42554428711279496</v>
      </c>
      <c r="L310" s="3">
        <f t="shared" si="47"/>
        <v>0.43904208564863023</v>
      </c>
      <c r="M310" s="3">
        <f t="shared" si="48"/>
        <v>1.4911016093093721</v>
      </c>
      <c r="N310" s="3">
        <f t="shared" si="49"/>
        <v>0.90176998432814681</v>
      </c>
      <c r="O310" s="3">
        <f t="shared" si="50"/>
        <v>0.10451535201749251</v>
      </c>
      <c r="P310" s="3">
        <f t="shared" si="51"/>
        <v>0.52610507918308425</v>
      </c>
      <c r="Q310" s="3">
        <f t="shared" si="52"/>
        <v>-0.74676966790330512</v>
      </c>
      <c r="R310" s="3">
        <f t="shared" si="54"/>
        <v>-0.52610507918308425</v>
      </c>
    </row>
    <row r="311" spans="1:18" x14ac:dyDescent="0.3">
      <c r="A311" s="2">
        <v>307</v>
      </c>
      <c r="B311" s="2">
        <v>0</v>
      </c>
      <c r="C311" s="2">
        <v>33</v>
      </c>
      <c r="D311" s="2">
        <f t="shared" si="53"/>
        <v>1089</v>
      </c>
      <c r="E311" s="2">
        <v>72.742900000000006</v>
      </c>
      <c r="F311" s="2">
        <v>169.01849999999999</v>
      </c>
      <c r="G311" s="2">
        <v>0.40659099999999998</v>
      </c>
      <c r="H311" s="2">
        <v>1</v>
      </c>
      <c r="I311" s="3">
        <f t="shared" si="44"/>
        <v>0.72938576807958244</v>
      </c>
      <c r="J311" s="3">
        <f t="shared" si="45"/>
        <v>0.66938300119137872</v>
      </c>
      <c r="K311" s="3">
        <f t="shared" si="46"/>
        <v>-0.20737183616527996</v>
      </c>
      <c r="L311" s="3">
        <f t="shared" si="47"/>
        <v>-1.0853002962009004</v>
      </c>
      <c r="M311" s="3">
        <f t="shared" si="48"/>
        <v>-0.29333197382880621</v>
      </c>
      <c r="N311" s="3">
        <f t="shared" si="49"/>
        <v>-1.4496510960581555</v>
      </c>
      <c r="O311" s="3">
        <f t="shared" si="50"/>
        <v>-3.2934681208585385E-2</v>
      </c>
      <c r="P311" s="3">
        <f t="shared" si="51"/>
        <v>0.49176707386766783</v>
      </c>
      <c r="Q311" s="3">
        <f t="shared" si="52"/>
        <v>-0.67681542048147103</v>
      </c>
      <c r="R311" s="3">
        <f t="shared" si="54"/>
        <v>-0.49176707386766783</v>
      </c>
    </row>
    <row r="312" spans="1:18" x14ac:dyDescent="0.3">
      <c r="A312" s="2">
        <v>308</v>
      </c>
      <c r="B312" s="2">
        <v>1</v>
      </c>
      <c r="C312" s="2">
        <v>36</v>
      </c>
      <c r="D312" s="2">
        <f t="shared" si="53"/>
        <v>1296</v>
      </c>
      <c r="E312" s="2">
        <v>75.034099999999995</v>
      </c>
      <c r="F312" s="2">
        <v>176.3819</v>
      </c>
      <c r="G312" s="2">
        <v>0.14328099999999999</v>
      </c>
      <c r="H312" s="2">
        <v>3</v>
      </c>
      <c r="I312" s="3">
        <f t="shared" si="44"/>
        <v>1.1882151461963255</v>
      </c>
      <c r="J312" s="3">
        <f t="shared" si="45"/>
        <v>1.2251816929304087</v>
      </c>
      <c r="K312" s="3">
        <f t="shared" si="46"/>
        <v>2.4235111648992266E-2</v>
      </c>
      <c r="L312" s="3">
        <f t="shared" si="47"/>
        <v>-0.34068916223530105</v>
      </c>
      <c r="M312" s="3">
        <f t="shared" si="48"/>
        <v>-1.2134031867013533</v>
      </c>
      <c r="N312" s="3">
        <f t="shared" si="49"/>
        <v>-0.27394055586500432</v>
      </c>
      <c r="O312" s="3">
        <f t="shared" si="50"/>
        <v>2.0693535392986063E-2</v>
      </c>
      <c r="P312" s="3">
        <f t="shared" si="51"/>
        <v>0.50517319924291137</v>
      </c>
      <c r="Q312" s="3">
        <f t="shared" si="52"/>
        <v>-0.68285393970928698</v>
      </c>
      <c r="R312" s="3">
        <f t="shared" si="54"/>
        <v>0.49482680075708863</v>
      </c>
    </row>
    <row r="313" spans="1:18" x14ac:dyDescent="0.3">
      <c r="A313" s="2">
        <v>309</v>
      </c>
      <c r="B313" s="2">
        <v>1</v>
      </c>
      <c r="C313" s="2">
        <v>21</v>
      </c>
      <c r="D313" s="2">
        <f t="shared" si="53"/>
        <v>441</v>
      </c>
      <c r="E313" s="2">
        <v>83.177499999999995</v>
      </c>
      <c r="F313" s="2">
        <v>161.9622</v>
      </c>
      <c r="G313" s="2">
        <v>0.71471899999999999</v>
      </c>
      <c r="H313" s="2">
        <v>6</v>
      </c>
      <c r="I313" s="3">
        <f t="shared" si="44"/>
        <v>-1.1059317443873902</v>
      </c>
      <c r="J313" s="3">
        <f t="shared" si="45"/>
        <v>-1.0705085555568892</v>
      </c>
      <c r="K313" s="3">
        <f t="shared" si="46"/>
        <v>0.84741423997945375</v>
      </c>
      <c r="L313" s="3">
        <f t="shared" si="47"/>
        <v>-1.7988564719622939</v>
      </c>
      <c r="M313" s="3">
        <f t="shared" si="48"/>
        <v>0.78334457730860663</v>
      </c>
      <c r="N313" s="3">
        <f t="shared" si="49"/>
        <v>1.4896252544247224</v>
      </c>
      <c r="O313" s="3">
        <f t="shared" si="50"/>
        <v>0.13032423815538732</v>
      </c>
      <c r="P313" s="3">
        <f t="shared" si="51"/>
        <v>0.532535023561864</v>
      </c>
      <c r="Q313" s="3">
        <f t="shared" si="52"/>
        <v>-0.63010661161427417</v>
      </c>
      <c r="R313" s="3">
        <f t="shared" si="54"/>
        <v>0.467464976438136</v>
      </c>
    </row>
    <row r="314" spans="1:18" x14ac:dyDescent="0.3">
      <c r="A314" s="2">
        <v>310</v>
      </c>
      <c r="B314" s="2">
        <v>1</v>
      </c>
      <c r="C314" s="2">
        <v>20</v>
      </c>
      <c r="D314" s="2">
        <f t="shared" si="53"/>
        <v>400</v>
      </c>
      <c r="E314" s="2">
        <v>60.106099999999998</v>
      </c>
      <c r="F314" s="2">
        <v>176.45009999999999</v>
      </c>
      <c r="G314" s="2">
        <v>0.29335299999999997</v>
      </c>
      <c r="H314" s="2">
        <v>2</v>
      </c>
      <c r="I314" s="3">
        <f t="shared" si="44"/>
        <v>-1.2588748704263044</v>
      </c>
      <c r="J314" s="3">
        <f t="shared" si="45"/>
        <v>-1.1805942867708998</v>
      </c>
      <c r="K314" s="3">
        <f t="shared" si="46"/>
        <v>-1.4847682564426066</v>
      </c>
      <c r="L314" s="3">
        <f t="shared" si="47"/>
        <v>-0.33379255477998876</v>
      </c>
      <c r="M314" s="3">
        <f t="shared" si="48"/>
        <v>-0.68901396085270006</v>
      </c>
      <c r="N314" s="3">
        <f t="shared" si="49"/>
        <v>-0.86179582596158</v>
      </c>
      <c r="O314" s="3">
        <f t="shared" si="50"/>
        <v>0.1370180687804167</v>
      </c>
      <c r="P314" s="3">
        <f t="shared" si="51"/>
        <v>0.53420102656314039</v>
      </c>
      <c r="Q314" s="3">
        <f t="shared" si="52"/>
        <v>-0.62698305662496989</v>
      </c>
      <c r="R314" s="3">
        <f t="shared" si="54"/>
        <v>0.46579897343685961</v>
      </c>
    </row>
    <row r="315" spans="1:18" x14ac:dyDescent="0.3">
      <c r="A315" s="2">
        <v>311</v>
      </c>
      <c r="B315" s="2">
        <v>1</v>
      </c>
      <c r="C315" s="2">
        <v>34</v>
      </c>
      <c r="D315" s="2">
        <f t="shared" si="53"/>
        <v>1156</v>
      </c>
      <c r="E315" s="2">
        <v>75.246399999999994</v>
      </c>
      <c r="F315" s="2">
        <v>179.06569999999999</v>
      </c>
      <c r="G315" s="2">
        <v>0.52546999999999999</v>
      </c>
      <c r="H315" s="2">
        <v>5</v>
      </c>
      <c r="I315" s="3">
        <f t="shared" si="44"/>
        <v>0.8823288941184968</v>
      </c>
      <c r="J315" s="3">
        <f t="shared" si="45"/>
        <v>0.84927919610207925</v>
      </c>
      <c r="K315" s="3">
        <f t="shared" si="46"/>
        <v>4.5695549420016184E-2</v>
      </c>
      <c r="L315" s="3">
        <f t="shared" si="47"/>
        <v>-6.9294512842783262E-2</v>
      </c>
      <c r="M315" s="3">
        <f t="shared" si="48"/>
        <v>0.1220610827018061</v>
      </c>
      <c r="N315" s="3">
        <f t="shared" si="49"/>
        <v>0.90176998432814681</v>
      </c>
      <c r="O315" s="3">
        <f t="shared" si="50"/>
        <v>-4.5871689303755979E-2</v>
      </c>
      <c r="P315" s="3">
        <f t="shared" si="51"/>
        <v>0.4885340881625454</v>
      </c>
      <c r="Q315" s="3">
        <f t="shared" si="52"/>
        <v>-0.71634602863902808</v>
      </c>
      <c r="R315" s="3">
        <f t="shared" si="54"/>
        <v>0.5114659118374546</v>
      </c>
    </row>
    <row r="316" spans="1:18" x14ac:dyDescent="0.3">
      <c r="A316" s="2">
        <v>312</v>
      </c>
      <c r="B316" s="2">
        <v>1</v>
      </c>
      <c r="C316" s="2">
        <v>34</v>
      </c>
      <c r="D316" s="2">
        <f t="shared" si="53"/>
        <v>1156</v>
      </c>
      <c r="E316" s="2">
        <v>75.899600000000007</v>
      </c>
      <c r="F316" s="2">
        <v>182.28980000000001</v>
      </c>
      <c r="G316" s="2">
        <v>0.69783300000000004</v>
      </c>
      <c r="H316" s="2">
        <v>3</v>
      </c>
      <c r="I316" s="3">
        <f t="shared" si="44"/>
        <v>0.8823288941184968</v>
      </c>
      <c r="J316" s="3">
        <f t="shared" si="45"/>
        <v>0.84927919610207925</v>
      </c>
      <c r="K316" s="3">
        <f t="shared" si="46"/>
        <v>0.11172455531748747</v>
      </c>
      <c r="L316" s="3">
        <f t="shared" si="47"/>
        <v>0.2567370428269482</v>
      </c>
      <c r="M316" s="3">
        <f t="shared" si="48"/>
        <v>0.72434065607293086</v>
      </c>
      <c r="N316" s="3">
        <f t="shared" si="49"/>
        <v>-0.27394055586500432</v>
      </c>
      <c r="O316" s="3">
        <f t="shared" si="50"/>
        <v>-4.3188367228429406E-2</v>
      </c>
      <c r="P316" s="3">
        <f t="shared" si="51"/>
        <v>0.48920458613943568</v>
      </c>
      <c r="Q316" s="3">
        <f t="shared" si="52"/>
        <v>-0.71497450043907318</v>
      </c>
      <c r="R316" s="3">
        <f t="shared" si="54"/>
        <v>0.51079541386056437</v>
      </c>
    </row>
    <row r="317" spans="1:18" x14ac:dyDescent="0.3">
      <c r="A317" s="2">
        <v>313</v>
      </c>
      <c r="B317" s="2">
        <v>0</v>
      </c>
      <c r="C317" s="2">
        <v>29</v>
      </c>
      <c r="D317" s="2">
        <f t="shared" si="53"/>
        <v>841</v>
      </c>
      <c r="E317" s="2">
        <v>82.533000000000001</v>
      </c>
      <c r="F317" s="2">
        <v>182.39580000000001</v>
      </c>
      <c r="G317" s="2">
        <v>0.90026399999999995</v>
      </c>
      <c r="H317" s="2">
        <v>6</v>
      </c>
      <c r="I317" s="3">
        <f t="shared" si="44"/>
        <v>0.1176132639239249</v>
      </c>
      <c r="J317" s="3">
        <f t="shared" si="45"/>
        <v>3.4985782383379449E-3</v>
      </c>
      <c r="K317" s="3">
        <f t="shared" si="46"/>
        <v>0.78226467736322736</v>
      </c>
      <c r="L317" s="3">
        <f t="shared" si="47"/>
        <v>0.2674561101328598</v>
      </c>
      <c r="M317" s="3">
        <f t="shared" si="48"/>
        <v>1.4316853664637346</v>
      </c>
      <c r="N317" s="3">
        <f t="shared" si="49"/>
        <v>1.4896252544247224</v>
      </c>
      <c r="O317" s="3">
        <f t="shared" si="50"/>
        <v>-1.9212452175009411E-2</v>
      </c>
      <c r="P317" s="3">
        <f t="shared" si="51"/>
        <v>0.4951970346938786</v>
      </c>
      <c r="Q317" s="3">
        <f t="shared" si="52"/>
        <v>-0.68358709355265335</v>
      </c>
      <c r="R317" s="3">
        <f t="shared" si="54"/>
        <v>-0.4951970346938786</v>
      </c>
    </row>
    <row r="318" spans="1:18" x14ac:dyDescent="0.3">
      <c r="A318" s="2">
        <v>314</v>
      </c>
      <c r="B318" s="2">
        <v>0</v>
      </c>
      <c r="C318" s="2">
        <v>31</v>
      </c>
      <c r="D318" s="2">
        <f t="shared" si="53"/>
        <v>961</v>
      </c>
      <c r="E318" s="2">
        <v>61.497500000000002</v>
      </c>
      <c r="F318" s="2">
        <v>189.03919999999999</v>
      </c>
      <c r="G318" s="2">
        <v>0.79219099999999998</v>
      </c>
      <c r="H318" s="2">
        <v>6</v>
      </c>
      <c r="I318" s="3">
        <f t="shared" si="44"/>
        <v>0.42349951600175367</v>
      </c>
      <c r="J318" s="3">
        <f t="shared" si="45"/>
        <v>0.32570071837690606</v>
      </c>
      <c r="K318" s="3">
        <f t="shared" si="46"/>
        <v>-1.3441179827044865</v>
      </c>
      <c r="L318" s="3">
        <f t="shared" si="47"/>
        <v>0.93925848503943066</v>
      </c>
      <c r="M318" s="3">
        <f t="shared" si="48"/>
        <v>1.0540511855029857</v>
      </c>
      <c r="N318" s="3">
        <f t="shared" si="49"/>
        <v>1.4896252544247224</v>
      </c>
      <c r="O318" s="3">
        <f t="shared" si="50"/>
        <v>-0.14714029992618102</v>
      </c>
      <c r="P318" s="3">
        <f t="shared" si="51"/>
        <v>0.46328114887295435</v>
      </c>
      <c r="Q318" s="3">
        <f t="shared" si="52"/>
        <v>-0.62228087627412831</v>
      </c>
      <c r="R318" s="3">
        <f t="shared" si="54"/>
        <v>-0.46328114887295435</v>
      </c>
    </row>
    <row r="319" spans="1:18" x14ac:dyDescent="0.3">
      <c r="A319" s="2">
        <v>315</v>
      </c>
      <c r="B319" s="2">
        <v>0</v>
      </c>
      <c r="C319" s="2">
        <v>38</v>
      </c>
      <c r="D319" s="2">
        <f t="shared" si="53"/>
        <v>1444</v>
      </c>
      <c r="E319" s="2">
        <v>89.951300000000003</v>
      </c>
      <c r="F319" s="2">
        <v>164.60329999999999</v>
      </c>
      <c r="G319" s="2">
        <v>0.67636099999999999</v>
      </c>
      <c r="H319" s="2">
        <v>2</v>
      </c>
      <c r="I319" s="3">
        <f t="shared" si="44"/>
        <v>1.4941013982741542</v>
      </c>
      <c r="J319" s="3">
        <f t="shared" si="45"/>
        <v>1.6225643324346428</v>
      </c>
      <c r="K319" s="3">
        <f t="shared" si="46"/>
        <v>1.5321467570466354</v>
      </c>
      <c r="L319" s="3">
        <f t="shared" si="47"/>
        <v>-1.531779786475082</v>
      </c>
      <c r="M319" s="3">
        <f t="shared" si="48"/>
        <v>0.64931210006366669</v>
      </c>
      <c r="N319" s="3">
        <f t="shared" si="49"/>
        <v>-0.86179582596158</v>
      </c>
      <c r="O319" s="3">
        <f t="shared" si="50"/>
        <v>3.0586209785004828E-2</v>
      </c>
      <c r="P319" s="3">
        <f t="shared" si="51"/>
        <v>0.50764595637918841</v>
      </c>
      <c r="Q319" s="3">
        <f t="shared" si="52"/>
        <v>-0.70855722042307412</v>
      </c>
      <c r="R319" s="3">
        <f t="shared" si="54"/>
        <v>-0.50764595637918841</v>
      </c>
    </row>
    <row r="320" spans="1:18" x14ac:dyDescent="0.3">
      <c r="A320" s="2">
        <v>316</v>
      </c>
      <c r="B320" s="2">
        <v>1</v>
      </c>
      <c r="C320" s="2">
        <v>23</v>
      </c>
      <c r="D320" s="2">
        <f t="shared" si="53"/>
        <v>529</v>
      </c>
      <c r="E320" s="2">
        <v>77.136300000000006</v>
      </c>
      <c r="F320" s="2">
        <v>165.13720000000001</v>
      </c>
      <c r="G320" s="2">
        <v>0.67963300000000004</v>
      </c>
      <c r="H320" s="2">
        <v>4</v>
      </c>
      <c r="I320" s="3">
        <f t="shared" si="44"/>
        <v>-0.80004549230956135</v>
      </c>
      <c r="J320" s="3">
        <f t="shared" si="45"/>
        <v>-0.83422698612193913</v>
      </c>
      <c r="K320" s="3">
        <f t="shared" si="46"/>
        <v>0.23673691231902011</v>
      </c>
      <c r="L320" s="3">
        <f t="shared" si="47"/>
        <v>-1.4777900691672832</v>
      </c>
      <c r="M320" s="3">
        <f t="shared" si="48"/>
        <v>0.66074528911276853</v>
      </c>
      <c r="N320" s="3">
        <f t="shared" si="49"/>
        <v>0.31391471423157125</v>
      </c>
      <c r="O320" s="3">
        <f t="shared" si="50"/>
        <v>6.5181509062345211E-2</v>
      </c>
      <c r="P320" s="3">
        <f t="shared" si="51"/>
        <v>0.51628961029787535</v>
      </c>
      <c r="Q320" s="3">
        <f t="shared" si="52"/>
        <v>-0.66108741068100785</v>
      </c>
      <c r="R320" s="3">
        <f t="shared" si="54"/>
        <v>0.48371038970212465</v>
      </c>
    </row>
    <row r="321" spans="1:18" x14ac:dyDescent="0.3">
      <c r="A321" s="2">
        <v>317</v>
      </c>
      <c r="B321" s="2">
        <v>1</v>
      </c>
      <c r="C321" s="2">
        <v>20</v>
      </c>
      <c r="D321" s="2">
        <f t="shared" si="53"/>
        <v>400</v>
      </c>
      <c r="E321" s="2">
        <v>77.665800000000004</v>
      </c>
      <c r="F321" s="2">
        <v>185.28960000000001</v>
      </c>
      <c r="G321" s="2">
        <v>0.94592500000000002</v>
      </c>
      <c r="H321" s="2">
        <v>6</v>
      </c>
      <c r="I321" s="3">
        <f t="shared" si="44"/>
        <v>-1.2588748704263044</v>
      </c>
      <c r="J321" s="3">
        <f t="shared" si="45"/>
        <v>-1.1805942867708998</v>
      </c>
      <c r="K321" s="3">
        <f t="shared" si="46"/>
        <v>0.29026164995329795</v>
      </c>
      <c r="L321" s="3">
        <f t="shared" si="47"/>
        <v>0.56008664758426097</v>
      </c>
      <c r="M321" s="3">
        <f t="shared" si="48"/>
        <v>1.5912363582641729</v>
      </c>
      <c r="N321" s="3">
        <f t="shared" si="49"/>
        <v>1.4896252544247224</v>
      </c>
      <c r="O321" s="3">
        <f t="shared" si="50"/>
        <v>0.14440451558941644</v>
      </c>
      <c r="P321" s="3">
        <f t="shared" si="51"/>
        <v>0.53603852571215493</v>
      </c>
      <c r="Q321" s="3">
        <f t="shared" si="52"/>
        <v>-0.62354924416566737</v>
      </c>
      <c r="R321" s="3">
        <f t="shared" si="54"/>
        <v>0.46396147428784507</v>
      </c>
    </row>
    <row r="322" spans="1:18" x14ac:dyDescent="0.3">
      <c r="A322" s="2">
        <v>318</v>
      </c>
      <c r="B322" s="2">
        <v>1</v>
      </c>
      <c r="C322" s="2">
        <v>26</v>
      </c>
      <c r="D322" s="2">
        <f t="shared" si="53"/>
        <v>676</v>
      </c>
      <c r="E322" s="2">
        <v>70.986199999999997</v>
      </c>
      <c r="F322" s="2">
        <v>159.6104</v>
      </c>
      <c r="G322" s="2">
        <v>0.29582399999999998</v>
      </c>
      <c r="H322" s="2">
        <v>4</v>
      </c>
      <c r="I322" s="3">
        <f t="shared" si="44"/>
        <v>-0.34121611419281822</v>
      </c>
      <c r="J322" s="3">
        <f t="shared" si="45"/>
        <v>-0.43952936445219321</v>
      </c>
      <c r="K322" s="3">
        <f t="shared" si="46"/>
        <v>-0.38494861917214801</v>
      </c>
      <c r="L322" s="3">
        <f t="shared" si="47"/>
        <v>-2.0366781935664839</v>
      </c>
      <c r="M322" s="3">
        <f t="shared" si="48"/>
        <v>-0.68037966680003192</v>
      </c>
      <c r="N322" s="3">
        <f t="shared" si="49"/>
        <v>0.31391471423157125</v>
      </c>
      <c r="O322" s="3">
        <f t="shared" si="50"/>
        <v>3.1786387035762651E-3</v>
      </c>
      <c r="P322" s="3">
        <f t="shared" si="51"/>
        <v>0.5007946590068082</v>
      </c>
      <c r="Q322" s="3">
        <f t="shared" si="52"/>
        <v>-0.69155912417562659</v>
      </c>
      <c r="R322" s="3">
        <f t="shared" si="54"/>
        <v>0.4992053409931918</v>
      </c>
    </row>
    <row r="323" spans="1:18" x14ac:dyDescent="0.3">
      <c r="A323" s="2">
        <v>319</v>
      </c>
      <c r="B323" s="2">
        <v>1</v>
      </c>
      <c r="C323" s="2">
        <v>22</v>
      </c>
      <c r="D323" s="2">
        <f t="shared" si="53"/>
        <v>484</v>
      </c>
      <c r="E323" s="2">
        <v>80.380200000000002</v>
      </c>
      <c r="F323" s="2">
        <v>181.833</v>
      </c>
      <c r="G323" s="2">
        <v>1.1119999999999999E-3</v>
      </c>
      <c r="H323" s="2">
        <v>6</v>
      </c>
      <c r="I323" s="3">
        <f t="shared" si="44"/>
        <v>-0.9529886183484757</v>
      </c>
      <c r="J323" s="3">
        <f t="shared" si="45"/>
        <v>-0.9550527886739022</v>
      </c>
      <c r="K323" s="3">
        <f t="shared" si="46"/>
        <v>0.56464795370114318</v>
      </c>
      <c r="L323" s="3">
        <f t="shared" si="47"/>
        <v>0.21054393013505363</v>
      </c>
      <c r="M323" s="3">
        <f t="shared" si="48"/>
        <v>-1.7101773474353821</v>
      </c>
      <c r="N323" s="3">
        <f t="shared" si="49"/>
        <v>1.4896252544247224</v>
      </c>
      <c r="O323" s="3">
        <f t="shared" si="50"/>
        <v>0.2361970741667799</v>
      </c>
      <c r="P323" s="3">
        <f t="shared" si="51"/>
        <v>0.55877626623985954</v>
      </c>
      <c r="Q323" s="3">
        <f t="shared" si="52"/>
        <v>-0.58200612522884621</v>
      </c>
      <c r="R323" s="3">
        <f t="shared" si="54"/>
        <v>0.44122373376014046</v>
      </c>
    </row>
    <row r="324" spans="1:18" x14ac:dyDescent="0.3">
      <c r="A324" s="2">
        <v>320</v>
      </c>
      <c r="B324" s="2">
        <v>1</v>
      </c>
      <c r="C324" s="2">
        <v>34</v>
      </c>
      <c r="D324" s="2">
        <f t="shared" si="53"/>
        <v>1156</v>
      </c>
      <c r="E324" s="2">
        <v>75.479500000000002</v>
      </c>
      <c r="F324" s="2">
        <v>168.19710000000001</v>
      </c>
      <c r="G324" s="2">
        <v>0.271955</v>
      </c>
      <c r="H324" s="2">
        <v>2</v>
      </c>
      <c r="I324" s="3">
        <f t="shared" si="44"/>
        <v>0.8823288941184968</v>
      </c>
      <c r="J324" s="3">
        <f t="shared" si="45"/>
        <v>0.84927919610207925</v>
      </c>
      <c r="K324" s="3">
        <f t="shared" si="46"/>
        <v>6.925856423125433E-2</v>
      </c>
      <c r="L324" s="3">
        <f t="shared" si="47"/>
        <v>-1.1683629554940707</v>
      </c>
      <c r="M324" s="3">
        <f t="shared" si="48"/>
        <v>-0.76378394229300517</v>
      </c>
      <c r="N324" s="3">
        <f t="shared" si="49"/>
        <v>-0.86179582596158</v>
      </c>
      <c r="O324" s="3">
        <f t="shared" si="50"/>
        <v>-7.5606625313272228E-3</v>
      </c>
      <c r="P324" s="3">
        <f t="shared" si="51"/>
        <v>0.49810984337117564</v>
      </c>
      <c r="Q324" s="3">
        <f t="shared" si="52"/>
        <v>-0.6969346572608287</v>
      </c>
      <c r="R324" s="3">
        <f t="shared" si="54"/>
        <v>0.5018901566288243</v>
      </c>
    </row>
    <row r="325" spans="1:18" x14ac:dyDescent="0.3">
      <c r="A325" s="2">
        <v>321</v>
      </c>
      <c r="B325" s="2">
        <v>1</v>
      </c>
      <c r="C325" s="2">
        <v>31</v>
      </c>
      <c r="D325" s="2">
        <f t="shared" si="53"/>
        <v>961</v>
      </c>
      <c r="E325" s="2">
        <v>87.089799999999997</v>
      </c>
      <c r="F325" s="2">
        <v>195.72810000000001</v>
      </c>
      <c r="G325" s="2">
        <v>0.217891</v>
      </c>
      <c r="H325" s="2">
        <v>1</v>
      </c>
      <c r="I325" s="3">
        <f t="shared" ref="I325:I388" si="55">(C325-$V$3)/$W$3</f>
        <v>0.42349951600175367</v>
      </c>
      <c r="J325" s="3">
        <f t="shared" ref="J325:J388" si="56" xml:space="preserve"> (D325- $V$8)/$W$8</f>
        <v>0.32570071837690606</v>
      </c>
      <c r="K325" s="3">
        <f t="shared" ref="K325:K388" si="57">(E325-$V$4)/$W$4</f>
        <v>1.2428907858653571</v>
      </c>
      <c r="L325" s="3">
        <f t="shared" ref="L325:L388" si="58">(F325-$V$5)/$W$5</f>
        <v>1.6156619690254295</v>
      </c>
      <c r="M325" s="3">
        <f t="shared" ref="M325:M388" si="59">(G325-$V$6)/$W$6</f>
        <v>-0.95269712467400625</v>
      </c>
      <c r="N325" s="3">
        <f t="shared" ref="N325:N388" si="60">(H325-$V$7)/$W$7</f>
        <v>-1.4496510960581555</v>
      </c>
      <c r="O325" s="3">
        <f t="shared" ref="O325:O388" si="61">$V$11+$V$12*I325+$V$17*J325+$V$13*K325+$V$14*L325+$V$15*M325+$V$16*N325</f>
        <v>0.16441381219284296</v>
      </c>
      <c r="P325" s="3">
        <f t="shared" ref="P325:P388" si="62">1/(1+EXP(-O325))</f>
        <v>0.54101111061767559</v>
      </c>
      <c r="Q325" s="3">
        <f t="shared" ref="Q325:Q388" si="63">B325*LN(P325)+(1-B325)*LN(1-P325)</f>
        <v>-0.61431546316044894</v>
      </c>
      <c r="R325" s="3">
        <f t="shared" si="54"/>
        <v>0.45898888938232441</v>
      </c>
    </row>
    <row r="326" spans="1:18" x14ac:dyDescent="0.3">
      <c r="A326" s="2">
        <v>322</v>
      </c>
      <c r="B326" s="2">
        <v>0</v>
      </c>
      <c r="C326" s="2">
        <v>38</v>
      </c>
      <c r="D326" s="2">
        <f t="shared" ref="D326:D389" si="64">C326^2</f>
        <v>1444</v>
      </c>
      <c r="E326" s="2">
        <v>60.585099999999997</v>
      </c>
      <c r="F326" s="2">
        <v>182.50450000000001</v>
      </c>
      <c r="G326" s="2">
        <v>0.66183499999999995</v>
      </c>
      <c r="H326" s="2">
        <v>2</v>
      </c>
      <c r="I326" s="3">
        <f t="shared" si="55"/>
        <v>1.4941013982741542</v>
      </c>
      <c r="J326" s="3">
        <f t="shared" si="56"/>
        <v>1.6225643324346428</v>
      </c>
      <c r="K326" s="3">
        <f t="shared" si="57"/>
        <v>-1.4363483332569238</v>
      </c>
      <c r="L326" s="3">
        <f t="shared" si="58"/>
        <v>0.27844821028524319</v>
      </c>
      <c r="M326" s="3">
        <f t="shared" si="59"/>
        <v>0.59855461102722041</v>
      </c>
      <c r="N326" s="3">
        <f t="shared" si="60"/>
        <v>-0.86179582596158</v>
      </c>
      <c r="O326" s="3">
        <f t="shared" si="61"/>
        <v>-0.11990942065071289</v>
      </c>
      <c r="P326" s="3">
        <f t="shared" si="62"/>
        <v>0.47005851180781355</v>
      </c>
      <c r="Q326" s="3">
        <f t="shared" si="63"/>
        <v>-0.6349886781678421</v>
      </c>
      <c r="R326" s="3">
        <f t="shared" ref="R326:R389" si="65">B326-P326</f>
        <v>-0.47005851180781355</v>
      </c>
    </row>
    <row r="327" spans="1:18" x14ac:dyDescent="0.3">
      <c r="A327" s="2">
        <v>323</v>
      </c>
      <c r="B327" s="2">
        <v>0</v>
      </c>
      <c r="C327" s="2">
        <v>20</v>
      </c>
      <c r="D327" s="2">
        <f t="shared" si="64"/>
        <v>400</v>
      </c>
      <c r="E327" s="2">
        <v>76.755499999999998</v>
      </c>
      <c r="F327" s="2">
        <v>177.80840000000001</v>
      </c>
      <c r="G327" s="2">
        <v>0.63371200000000005</v>
      </c>
      <c r="H327" s="2">
        <v>2</v>
      </c>
      <c r="I327" s="3">
        <f t="shared" si="55"/>
        <v>-1.2588748704263044</v>
      </c>
      <c r="J327" s="3">
        <f t="shared" si="56"/>
        <v>-1.1805942867708998</v>
      </c>
      <c r="K327" s="3">
        <f t="shared" si="57"/>
        <v>0.19824357881357446</v>
      </c>
      <c r="L327" s="3">
        <f t="shared" si="58"/>
        <v>-0.19643680834960572</v>
      </c>
      <c r="M327" s="3">
        <f t="shared" si="59"/>
        <v>0.50028579207004242</v>
      </c>
      <c r="N327" s="3">
        <f t="shared" si="60"/>
        <v>-0.86179582596158</v>
      </c>
      <c r="O327" s="3">
        <f t="shared" si="61"/>
        <v>0.19999232661386046</v>
      </c>
      <c r="P327" s="3">
        <f t="shared" si="62"/>
        <v>0.54983209802151323</v>
      </c>
      <c r="Q327" s="3">
        <f t="shared" si="63"/>
        <v>-0.79813465030030473</v>
      </c>
      <c r="R327" s="3">
        <f t="shared" si="65"/>
        <v>-0.54983209802151323</v>
      </c>
    </row>
    <row r="328" spans="1:18" x14ac:dyDescent="0.3">
      <c r="A328" s="2">
        <v>324</v>
      </c>
      <c r="B328" s="2">
        <v>0</v>
      </c>
      <c r="C328" s="2">
        <v>18</v>
      </c>
      <c r="D328" s="2">
        <f t="shared" si="64"/>
        <v>324</v>
      </c>
      <c r="E328" s="2">
        <v>79.085099999999997</v>
      </c>
      <c r="F328" s="2">
        <v>192.27719999999999</v>
      </c>
      <c r="G328" s="2">
        <v>0.59346100000000002</v>
      </c>
      <c r="H328" s="2">
        <v>1</v>
      </c>
      <c r="I328" s="3">
        <f t="shared" si="55"/>
        <v>-1.5647611225041334</v>
      </c>
      <c r="J328" s="3">
        <f t="shared" si="56"/>
        <v>-1.3846556421919931</v>
      </c>
      <c r="K328" s="3">
        <f t="shared" si="57"/>
        <v>0.43373220731747236</v>
      </c>
      <c r="L328" s="3">
        <f t="shared" si="58"/>
        <v>1.2666956542521051</v>
      </c>
      <c r="M328" s="3">
        <f t="shared" si="59"/>
        <v>0.35963869781105895</v>
      </c>
      <c r="N328" s="3">
        <f t="shared" si="60"/>
        <v>-1.4496510960581555</v>
      </c>
      <c r="O328" s="3">
        <f t="shared" si="61"/>
        <v>0.33042677683600985</v>
      </c>
      <c r="P328" s="3">
        <f t="shared" si="62"/>
        <v>0.58186321459544754</v>
      </c>
      <c r="Q328" s="3">
        <f t="shared" si="63"/>
        <v>-0.87194666217806094</v>
      </c>
      <c r="R328" s="3">
        <f t="shared" si="65"/>
        <v>-0.58186321459544754</v>
      </c>
    </row>
    <row r="329" spans="1:18" x14ac:dyDescent="0.3">
      <c r="A329" s="2">
        <v>325</v>
      </c>
      <c r="B329" s="2">
        <v>0</v>
      </c>
      <c r="C329" s="2">
        <v>37</v>
      </c>
      <c r="D329" s="2">
        <f t="shared" si="64"/>
        <v>1369</v>
      </c>
      <c r="E329" s="2">
        <v>73.136300000000006</v>
      </c>
      <c r="F329" s="2">
        <v>169.36600000000001</v>
      </c>
      <c r="G329" s="2">
        <v>1.6243E-2</v>
      </c>
      <c r="H329" s="2">
        <v>1</v>
      </c>
      <c r="I329" s="3">
        <f t="shared" si="55"/>
        <v>1.34115827223524</v>
      </c>
      <c r="J329" s="3">
        <f t="shared" si="56"/>
        <v>1.4211879948480377</v>
      </c>
      <c r="K329" s="3">
        <f t="shared" si="57"/>
        <v>-0.16760482618355202</v>
      </c>
      <c r="L329" s="3">
        <f t="shared" si="58"/>
        <v>-1.0501599576272709</v>
      </c>
      <c r="M329" s="3">
        <f t="shared" si="59"/>
        <v>-1.6573058365851503</v>
      </c>
      <c r="N329" s="3">
        <f t="shared" si="60"/>
        <v>-1.4496510960581555</v>
      </c>
      <c r="O329" s="3">
        <f t="shared" si="61"/>
        <v>3.0676468313872558E-2</v>
      </c>
      <c r="P329" s="3">
        <f t="shared" si="62"/>
        <v>0.50766851571924931</v>
      </c>
      <c r="Q329" s="3">
        <f t="shared" si="63"/>
        <v>-0.70860304081836911</v>
      </c>
      <c r="R329" s="3">
        <f t="shared" si="65"/>
        <v>-0.50766851571924931</v>
      </c>
    </row>
    <row r="330" spans="1:18" x14ac:dyDescent="0.3">
      <c r="A330" s="2">
        <v>326</v>
      </c>
      <c r="B330" s="2">
        <v>0</v>
      </c>
      <c r="C330" s="2">
        <v>38</v>
      </c>
      <c r="D330" s="2">
        <f t="shared" si="64"/>
        <v>1444</v>
      </c>
      <c r="E330" s="2">
        <v>70.953299999999999</v>
      </c>
      <c r="F330" s="2">
        <v>171.26589999999999</v>
      </c>
      <c r="G330" s="2">
        <v>0.72877800000000004</v>
      </c>
      <c r="H330" s="2">
        <v>3</v>
      </c>
      <c r="I330" s="3">
        <f t="shared" si="55"/>
        <v>1.4941013982741542</v>
      </c>
      <c r="J330" s="3">
        <f t="shared" si="56"/>
        <v>1.6225643324346428</v>
      </c>
      <c r="K330" s="3">
        <f t="shared" si="57"/>
        <v>-0.38827432997133143</v>
      </c>
      <c r="L330" s="3">
        <f t="shared" si="58"/>
        <v>-0.85803584466026916</v>
      </c>
      <c r="M330" s="3">
        <f t="shared" si="59"/>
        <v>0.83247025115986628</v>
      </c>
      <c r="N330" s="3">
        <f t="shared" si="60"/>
        <v>-0.27394055586500432</v>
      </c>
      <c r="O330" s="3">
        <f t="shared" si="61"/>
        <v>-9.5679769777506807E-2</v>
      </c>
      <c r="P330" s="3">
        <f t="shared" si="62"/>
        <v>0.47609828902758039</v>
      </c>
      <c r="Q330" s="3">
        <f t="shared" si="63"/>
        <v>-0.64645118673550328</v>
      </c>
      <c r="R330" s="3">
        <f t="shared" si="65"/>
        <v>-0.47609828902758039</v>
      </c>
    </row>
    <row r="331" spans="1:18" x14ac:dyDescent="0.3">
      <c r="A331" s="2">
        <v>327</v>
      </c>
      <c r="B331" s="2">
        <v>1</v>
      </c>
      <c r="C331" s="2">
        <v>18</v>
      </c>
      <c r="D331" s="2">
        <f t="shared" si="64"/>
        <v>324</v>
      </c>
      <c r="E331" s="2">
        <v>71.370400000000004</v>
      </c>
      <c r="F331" s="2">
        <v>167.38550000000001</v>
      </c>
      <c r="G331" s="2">
        <v>0.32352999999999998</v>
      </c>
      <c r="H331" s="2">
        <v>6</v>
      </c>
      <c r="I331" s="3">
        <f t="shared" si="55"/>
        <v>-1.5647611225041334</v>
      </c>
      <c r="J331" s="3">
        <f t="shared" si="56"/>
        <v>-1.3846556421919931</v>
      </c>
      <c r="K331" s="3">
        <f t="shared" si="57"/>
        <v>-0.34611159518897527</v>
      </c>
      <c r="L331" s="3">
        <f t="shared" si="58"/>
        <v>-1.250434606677828</v>
      </c>
      <c r="M331" s="3">
        <f t="shared" si="59"/>
        <v>-0.58356795048144616</v>
      </c>
      <c r="N331" s="3">
        <f t="shared" si="60"/>
        <v>1.4896252544247224</v>
      </c>
      <c r="O331" s="3">
        <f t="shared" si="61"/>
        <v>0.22005758670685494</v>
      </c>
      <c r="P331" s="3">
        <f t="shared" si="62"/>
        <v>0.55479345893490339</v>
      </c>
      <c r="Q331" s="3">
        <f t="shared" si="63"/>
        <v>-0.58915938056247052</v>
      </c>
      <c r="R331" s="3">
        <f t="shared" si="65"/>
        <v>0.44520654106509661</v>
      </c>
    </row>
    <row r="332" spans="1:18" x14ac:dyDescent="0.3">
      <c r="A332" s="2">
        <v>328</v>
      </c>
      <c r="B332" s="2">
        <v>1</v>
      </c>
      <c r="C332" s="2">
        <v>20</v>
      </c>
      <c r="D332" s="2">
        <f t="shared" si="64"/>
        <v>400</v>
      </c>
      <c r="E332" s="2">
        <v>76.746399999999994</v>
      </c>
      <c r="F332" s="2">
        <v>171.34960000000001</v>
      </c>
      <c r="G332" s="2">
        <v>0.66505599999999998</v>
      </c>
      <c r="H332" s="2">
        <v>3</v>
      </c>
      <c r="I332" s="3">
        <f t="shared" si="55"/>
        <v>-1.2588748704263044</v>
      </c>
      <c r="J332" s="3">
        <f t="shared" si="56"/>
        <v>-1.1805942867708998</v>
      </c>
      <c r="K332" s="3">
        <f t="shared" si="57"/>
        <v>0.19732370135848074</v>
      </c>
      <c r="L332" s="3">
        <f t="shared" si="58"/>
        <v>-0.84957182641965523</v>
      </c>
      <c r="M332" s="3">
        <f t="shared" si="59"/>
        <v>0.60980959327879647</v>
      </c>
      <c r="N332" s="3">
        <f t="shared" si="60"/>
        <v>-0.27394055586500432</v>
      </c>
      <c r="O332" s="3">
        <f t="shared" si="61"/>
        <v>0.17194113150127238</v>
      </c>
      <c r="P332" s="3">
        <f t="shared" si="62"/>
        <v>0.54287969450046647</v>
      </c>
      <c r="Q332" s="3">
        <f t="shared" si="63"/>
        <v>-0.61086754068497973</v>
      </c>
      <c r="R332" s="3">
        <f t="shared" si="65"/>
        <v>0.45712030549953353</v>
      </c>
    </row>
    <row r="333" spans="1:18" x14ac:dyDescent="0.3">
      <c r="A333" s="2">
        <v>329</v>
      </c>
      <c r="B333" s="2">
        <v>1</v>
      </c>
      <c r="C333" s="2">
        <v>35</v>
      </c>
      <c r="D333" s="2">
        <f t="shared" si="64"/>
        <v>1225</v>
      </c>
      <c r="E333" s="2">
        <v>56.900399999999998</v>
      </c>
      <c r="F333" s="2">
        <v>180.6112</v>
      </c>
      <c r="G333" s="2">
        <v>0.55657800000000002</v>
      </c>
      <c r="H333" s="2">
        <v>1</v>
      </c>
      <c r="I333" s="3">
        <f t="shared" si="55"/>
        <v>1.0352720201574113</v>
      </c>
      <c r="J333" s="3">
        <f t="shared" si="56"/>
        <v>1.034545426681756</v>
      </c>
      <c r="K333" s="3">
        <f t="shared" si="57"/>
        <v>-1.8088178342220305</v>
      </c>
      <c r="L333" s="3">
        <f t="shared" si="58"/>
        <v>8.699151094294548E-2</v>
      </c>
      <c r="M333" s="3">
        <f t="shared" si="59"/>
        <v>0.23076024069063758</v>
      </c>
      <c r="N333" s="3">
        <f t="shared" si="60"/>
        <v>-1.4496510960581555</v>
      </c>
      <c r="O333" s="3">
        <f t="shared" si="61"/>
        <v>-0.13616699858129006</v>
      </c>
      <c r="P333" s="3">
        <f t="shared" si="62"/>
        <v>0.46601075163267858</v>
      </c>
      <c r="Q333" s="3">
        <f t="shared" si="63"/>
        <v>-0.76354657294951966</v>
      </c>
      <c r="R333" s="3">
        <f t="shared" si="65"/>
        <v>0.53398924836732142</v>
      </c>
    </row>
    <row r="334" spans="1:18" x14ac:dyDescent="0.3">
      <c r="A334" s="2">
        <v>330</v>
      </c>
      <c r="B334" s="2">
        <v>1</v>
      </c>
      <c r="C334" s="2">
        <v>27</v>
      </c>
      <c r="D334" s="2">
        <f t="shared" si="64"/>
        <v>729</v>
      </c>
      <c r="E334" s="2">
        <v>84.650099999999995</v>
      </c>
      <c r="F334" s="2">
        <v>184.93950000000001</v>
      </c>
      <c r="G334" s="2">
        <v>0.34273100000000001</v>
      </c>
      <c r="H334" s="2">
        <v>4</v>
      </c>
      <c r="I334" s="3">
        <f t="shared" si="55"/>
        <v>-0.18827298815390386</v>
      </c>
      <c r="J334" s="3">
        <f t="shared" si="56"/>
        <v>-0.29722341922432566</v>
      </c>
      <c r="K334" s="3">
        <f t="shared" si="57"/>
        <v>0.99627265100917561</v>
      </c>
      <c r="L334" s="3">
        <f t="shared" si="58"/>
        <v>0.52468338849180984</v>
      </c>
      <c r="M334" s="3">
        <f t="shared" si="59"/>
        <v>-0.51647483833847485</v>
      </c>
      <c r="N334" s="3">
        <f t="shared" si="60"/>
        <v>0.31391471423157125</v>
      </c>
      <c r="O334" s="3">
        <f t="shared" si="61"/>
        <v>0.12862015777511834</v>
      </c>
      <c r="P334" s="3">
        <f t="shared" si="62"/>
        <v>0.53211078386502086</v>
      </c>
      <c r="Q334" s="3">
        <f t="shared" si="63"/>
        <v>-0.63090357097172078</v>
      </c>
      <c r="R334" s="3">
        <f t="shared" si="65"/>
        <v>0.46788921613497914</v>
      </c>
    </row>
    <row r="335" spans="1:18" x14ac:dyDescent="0.3">
      <c r="A335" s="2">
        <v>331</v>
      </c>
      <c r="B335" s="2">
        <v>1</v>
      </c>
      <c r="C335" s="2">
        <v>39</v>
      </c>
      <c r="D335" s="2">
        <f t="shared" si="64"/>
        <v>1521</v>
      </c>
      <c r="E335" s="2">
        <v>70.198700000000002</v>
      </c>
      <c r="F335" s="2">
        <v>189.61420000000001</v>
      </c>
      <c r="G335" s="2">
        <v>0.134576</v>
      </c>
      <c r="H335" s="2">
        <v>4</v>
      </c>
      <c r="I335" s="3">
        <f t="shared" si="55"/>
        <v>1.6470445243130687</v>
      </c>
      <c r="J335" s="3">
        <f t="shared" si="56"/>
        <v>1.829310705690224</v>
      </c>
      <c r="K335" s="3">
        <f t="shared" si="57"/>
        <v>-0.46455339893984132</v>
      </c>
      <c r="L335" s="3">
        <f t="shared" si="58"/>
        <v>0.99740436901018215</v>
      </c>
      <c r="M335" s="3">
        <f t="shared" si="59"/>
        <v>-1.243820641063343</v>
      </c>
      <c r="N335" s="3">
        <f t="shared" si="60"/>
        <v>0.31391471423157125</v>
      </c>
      <c r="O335" s="3">
        <f t="shared" si="61"/>
        <v>3.0366190433292785E-2</v>
      </c>
      <c r="P335" s="3">
        <f t="shared" si="62"/>
        <v>0.50759096431144546</v>
      </c>
      <c r="Q335" s="3">
        <f t="shared" si="63"/>
        <v>-0.67807934410521564</v>
      </c>
      <c r="R335" s="3">
        <f t="shared" si="65"/>
        <v>0.49240903568855454</v>
      </c>
    </row>
    <row r="336" spans="1:18" x14ac:dyDescent="0.3">
      <c r="A336" s="2">
        <v>332</v>
      </c>
      <c r="B336" s="2">
        <v>1</v>
      </c>
      <c r="C336" s="2">
        <v>20</v>
      </c>
      <c r="D336" s="2">
        <f t="shared" si="64"/>
        <v>400</v>
      </c>
      <c r="E336" s="2">
        <v>76.278000000000006</v>
      </c>
      <c r="F336" s="2">
        <v>161.75280000000001</v>
      </c>
      <c r="G336" s="2">
        <v>9.4419000000000003E-2</v>
      </c>
      <c r="H336" s="2">
        <v>2</v>
      </c>
      <c r="I336" s="3">
        <f t="shared" si="55"/>
        <v>-1.2588748704263044</v>
      </c>
      <c r="J336" s="3">
        <f t="shared" si="56"/>
        <v>-1.1805942867708998</v>
      </c>
      <c r="K336" s="3">
        <f t="shared" si="57"/>
        <v>0.14997528377983071</v>
      </c>
      <c r="L336" s="3">
        <f t="shared" si="58"/>
        <v>-1.8200316860552928</v>
      </c>
      <c r="M336" s="3">
        <f t="shared" si="59"/>
        <v>-1.3841392757347299</v>
      </c>
      <c r="N336" s="3">
        <f t="shared" si="60"/>
        <v>-0.86179582596158</v>
      </c>
      <c r="O336" s="3">
        <f t="shared" si="61"/>
        <v>0.23928439364095447</v>
      </c>
      <c r="P336" s="3">
        <f t="shared" si="62"/>
        <v>0.55953729180078549</v>
      </c>
      <c r="Q336" s="3">
        <f t="shared" si="63"/>
        <v>-0.58064510143917603</v>
      </c>
      <c r="R336" s="3">
        <f t="shared" si="65"/>
        <v>0.44046270819921451</v>
      </c>
    </row>
    <row r="337" spans="1:18" x14ac:dyDescent="0.3">
      <c r="A337" s="2">
        <v>333</v>
      </c>
      <c r="B337" s="2">
        <v>0</v>
      </c>
      <c r="C337" s="2">
        <v>25</v>
      </c>
      <c r="D337" s="2">
        <f t="shared" si="64"/>
        <v>625</v>
      </c>
      <c r="E337" s="2">
        <v>78.671000000000006</v>
      </c>
      <c r="F337" s="2">
        <v>178.28139999999999</v>
      </c>
      <c r="G337" s="2">
        <v>0.83151799999999998</v>
      </c>
      <c r="H337" s="2">
        <v>5</v>
      </c>
      <c r="I337" s="3">
        <f t="shared" si="55"/>
        <v>-0.49415924023173263</v>
      </c>
      <c r="J337" s="3">
        <f t="shared" si="56"/>
        <v>-0.57646527401108472</v>
      </c>
      <c r="K337" s="3">
        <f t="shared" si="57"/>
        <v>0.39187272883899454</v>
      </c>
      <c r="L337" s="3">
        <f t="shared" si="58"/>
        <v>-0.14860549857888614</v>
      </c>
      <c r="M337" s="3">
        <f t="shared" si="59"/>
        <v>1.1914695919009146</v>
      </c>
      <c r="N337" s="3">
        <f t="shared" si="60"/>
        <v>0.90176998432814681</v>
      </c>
      <c r="O337" s="3">
        <f t="shared" si="61"/>
        <v>2.9754789698263756E-2</v>
      </c>
      <c r="P337" s="3">
        <f t="shared" si="62"/>
        <v>0.50743814865379766</v>
      </c>
      <c r="Q337" s="3">
        <f t="shared" si="63"/>
        <v>-0.70813523976556558</v>
      </c>
      <c r="R337" s="3">
        <f t="shared" si="65"/>
        <v>-0.50743814865379766</v>
      </c>
    </row>
    <row r="338" spans="1:18" x14ac:dyDescent="0.3">
      <c r="A338" s="2">
        <v>334</v>
      </c>
      <c r="B338" s="2">
        <v>1</v>
      </c>
      <c r="C338" s="2">
        <v>31</v>
      </c>
      <c r="D338" s="2">
        <f t="shared" si="64"/>
        <v>961</v>
      </c>
      <c r="E338" s="2">
        <v>69.741900000000001</v>
      </c>
      <c r="F338" s="2">
        <v>168.91839999999999</v>
      </c>
      <c r="G338" s="2">
        <v>0.91839800000000005</v>
      </c>
      <c r="H338" s="2">
        <v>2</v>
      </c>
      <c r="I338" s="3">
        <f t="shared" si="55"/>
        <v>0.42349951600175367</v>
      </c>
      <c r="J338" s="3">
        <f t="shared" si="56"/>
        <v>0.32570071837690606</v>
      </c>
      <c r="K338" s="3">
        <f t="shared" si="57"/>
        <v>-0.51072922547683519</v>
      </c>
      <c r="L338" s="3">
        <f t="shared" si="58"/>
        <v>-1.0954227361756343</v>
      </c>
      <c r="M338" s="3">
        <f t="shared" si="59"/>
        <v>1.4950501128623934</v>
      </c>
      <c r="N338" s="3">
        <f t="shared" si="60"/>
        <v>-0.86179582596158</v>
      </c>
      <c r="O338" s="3">
        <f t="shared" si="61"/>
        <v>-0.12561820642610957</v>
      </c>
      <c r="P338" s="3">
        <f t="shared" si="62"/>
        <v>0.46863668014334309</v>
      </c>
      <c r="Q338" s="3">
        <f t="shared" si="63"/>
        <v>-0.75792747995105769</v>
      </c>
      <c r="R338" s="3">
        <f t="shared" si="65"/>
        <v>0.53136331985665697</v>
      </c>
    </row>
    <row r="339" spans="1:18" x14ac:dyDescent="0.3">
      <c r="A339" s="2">
        <v>335</v>
      </c>
      <c r="B339" s="2">
        <v>1</v>
      </c>
      <c r="C339" s="2">
        <v>35</v>
      </c>
      <c r="D339" s="2">
        <f t="shared" si="64"/>
        <v>1225</v>
      </c>
      <c r="E339" s="2">
        <v>73.689599999999999</v>
      </c>
      <c r="F339" s="2">
        <v>177.94710000000001</v>
      </c>
      <c r="G339" s="2">
        <v>0.64978800000000003</v>
      </c>
      <c r="H339" s="2">
        <v>2</v>
      </c>
      <c r="I339" s="3">
        <f t="shared" si="55"/>
        <v>1.0352720201574113</v>
      </c>
      <c r="J339" s="3">
        <f t="shared" si="56"/>
        <v>1.034545426681756</v>
      </c>
      <c r="K339" s="3">
        <f t="shared" si="57"/>
        <v>-0.11167425520518444</v>
      </c>
      <c r="L339" s="3">
        <f t="shared" si="58"/>
        <v>-0.18241100990309617</v>
      </c>
      <c r="M339" s="3">
        <f t="shared" si="59"/>
        <v>0.55645937005089785</v>
      </c>
      <c r="N339" s="3">
        <f t="shared" si="60"/>
        <v>-0.86179582596158</v>
      </c>
      <c r="O339" s="3">
        <f t="shared" si="61"/>
        <v>-5.3188277095637303E-2</v>
      </c>
      <c r="P339" s="3">
        <f t="shared" si="62"/>
        <v>0.4867060646156442</v>
      </c>
      <c r="Q339" s="3">
        <f t="shared" si="63"/>
        <v>-0.72009490153483879</v>
      </c>
      <c r="R339" s="3">
        <f t="shared" si="65"/>
        <v>0.51329393538435575</v>
      </c>
    </row>
    <row r="340" spans="1:18" x14ac:dyDescent="0.3">
      <c r="A340" s="2">
        <v>336</v>
      </c>
      <c r="B340" s="2">
        <v>1</v>
      </c>
      <c r="C340" s="2">
        <v>32</v>
      </c>
      <c r="D340" s="2">
        <f t="shared" si="64"/>
        <v>1024</v>
      </c>
      <c r="E340" s="2">
        <v>54.647599999999997</v>
      </c>
      <c r="F340" s="2">
        <v>203.3416</v>
      </c>
      <c r="G340" s="2">
        <v>0.103434</v>
      </c>
      <c r="H340" s="2">
        <v>5</v>
      </c>
      <c r="I340" s="3">
        <f t="shared" si="55"/>
        <v>0.57644264204066809</v>
      </c>
      <c r="J340" s="3">
        <f t="shared" si="56"/>
        <v>0.49485684194965435</v>
      </c>
      <c r="K340" s="3">
        <f t="shared" si="57"/>
        <v>-2.036543101346679</v>
      </c>
      <c r="L340" s="3">
        <f t="shared" si="58"/>
        <v>2.3855640344363906</v>
      </c>
      <c r="M340" s="3">
        <f t="shared" si="59"/>
        <v>-1.3526386035838582</v>
      </c>
      <c r="N340" s="3">
        <f t="shared" si="60"/>
        <v>0.90176998432814681</v>
      </c>
      <c r="O340" s="3">
        <f t="shared" si="61"/>
        <v>-5.5413335607641348E-2</v>
      </c>
      <c r="P340" s="3">
        <f t="shared" si="62"/>
        <v>0.48615020989077534</v>
      </c>
      <c r="Q340" s="3">
        <f t="shared" si="63"/>
        <v>-0.72123762898579413</v>
      </c>
      <c r="R340" s="3">
        <f t="shared" si="65"/>
        <v>0.51384979010922471</v>
      </c>
    </row>
    <row r="341" spans="1:18" x14ac:dyDescent="0.3">
      <c r="A341" s="2">
        <v>337</v>
      </c>
      <c r="B341" s="2">
        <v>1</v>
      </c>
      <c r="C341" s="2">
        <v>39</v>
      </c>
      <c r="D341" s="2">
        <f t="shared" si="64"/>
        <v>1521</v>
      </c>
      <c r="E341" s="2">
        <v>82.321200000000005</v>
      </c>
      <c r="F341" s="2">
        <v>182.9186</v>
      </c>
      <c r="G341" s="2">
        <v>0.40202700000000002</v>
      </c>
      <c r="H341" s="2">
        <v>6</v>
      </c>
      <c r="I341" s="3">
        <f t="shared" si="55"/>
        <v>1.6470445243130687</v>
      </c>
      <c r="J341" s="3">
        <f t="shared" si="56"/>
        <v>1.829310705690224</v>
      </c>
      <c r="K341" s="3">
        <f t="shared" si="57"/>
        <v>0.76085478230951653</v>
      </c>
      <c r="L341" s="3">
        <f t="shared" si="58"/>
        <v>0.32032335907182913</v>
      </c>
      <c r="M341" s="3">
        <f t="shared" si="59"/>
        <v>-0.30927973508189294</v>
      </c>
      <c r="N341" s="3">
        <f t="shared" si="60"/>
        <v>1.4896252544247224</v>
      </c>
      <c r="O341" s="3">
        <f t="shared" si="61"/>
        <v>3.8895641409087384E-2</v>
      </c>
      <c r="P341" s="3">
        <f t="shared" si="62"/>
        <v>0.50972268461927517</v>
      </c>
      <c r="Q341" s="3">
        <f t="shared" si="63"/>
        <v>-0.67388845680096088</v>
      </c>
      <c r="R341" s="3">
        <f t="shared" si="65"/>
        <v>0.49027731538072483</v>
      </c>
    </row>
    <row r="342" spans="1:18" x14ac:dyDescent="0.3">
      <c r="A342" s="2">
        <v>338</v>
      </c>
      <c r="B342" s="2">
        <v>0</v>
      </c>
      <c r="C342" s="2">
        <v>19</v>
      </c>
      <c r="D342" s="2">
        <f t="shared" si="64"/>
        <v>361</v>
      </c>
      <c r="E342" s="2">
        <v>85.800700000000006</v>
      </c>
      <c r="F342" s="2">
        <v>188.99459999999999</v>
      </c>
      <c r="G342" s="2">
        <v>0.728939</v>
      </c>
      <c r="H342" s="2">
        <v>1</v>
      </c>
      <c r="I342" s="3">
        <f t="shared" si="55"/>
        <v>-1.4118179964652189</v>
      </c>
      <c r="J342" s="3">
        <f t="shared" si="56"/>
        <v>-1.2853099823159346</v>
      </c>
      <c r="K342" s="3">
        <f t="shared" si="57"/>
        <v>1.1125815520894415</v>
      </c>
      <c r="L342" s="3">
        <f t="shared" si="58"/>
        <v>0.93474838690882966</v>
      </c>
      <c r="M342" s="3">
        <f t="shared" si="59"/>
        <v>0.83303282555989844</v>
      </c>
      <c r="N342" s="3">
        <f t="shared" si="60"/>
        <v>-1.4496510960581555</v>
      </c>
      <c r="O342" s="3">
        <f t="shared" si="61"/>
        <v>0.31260112503262943</v>
      </c>
      <c r="P342" s="3">
        <f t="shared" si="62"/>
        <v>0.57752003894100512</v>
      </c>
      <c r="Q342" s="3">
        <f t="shared" si="63"/>
        <v>-0.86161326275588623</v>
      </c>
      <c r="R342" s="3">
        <f t="shared" si="65"/>
        <v>-0.57752003894100512</v>
      </c>
    </row>
    <row r="343" spans="1:18" x14ac:dyDescent="0.3">
      <c r="A343" s="2">
        <v>339</v>
      </c>
      <c r="B343" s="2">
        <v>0</v>
      </c>
      <c r="C343" s="2">
        <v>27</v>
      </c>
      <c r="D343" s="2">
        <f t="shared" si="64"/>
        <v>729</v>
      </c>
      <c r="E343" s="2">
        <v>57.990099999999998</v>
      </c>
      <c r="F343" s="2">
        <v>199.6069</v>
      </c>
      <c r="G343" s="2">
        <v>0.77982099999999999</v>
      </c>
      <c r="H343" s="2">
        <v>4</v>
      </c>
      <c r="I343" s="3">
        <f t="shared" si="55"/>
        <v>-0.18827298815390386</v>
      </c>
      <c r="J343" s="3">
        <f t="shared" si="56"/>
        <v>-0.29722341922432566</v>
      </c>
      <c r="K343" s="3">
        <f t="shared" si="57"/>
        <v>-1.6986650361104672</v>
      </c>
      <c r="L343" s="3">
        <f t="shared" si="58"/>
        <v>2.007898933800635</v>
      </c>
      <c r="M343" s="3">
        <f t="shared" si="59"/>
        <v>1.0108273014756666</v>
      </c>
      <c r="N343" s="3">
        <f t="shared" si="60"/>
        <v>0.31391471423157125</v>
      </c>
      <c r="O343" s="3">
        <f t="shared" si="61"/>
        <v>-7.8589295638021417E-2</v>
      </c>
      <c r="P343" s="3">
        <f t="shared" si="62"/>
        <v>0.48036278212564071</v>
      </c>
      <c r="Q343" s="3">
        <f t="shared" si="63"/>
        <v>-0.6546243688171336</v>
      </c>
      <c r="R343" s="3">
        <f t="shared" si="65"/>
        <v>-0.48036278212564071</v>
      </c>
    </row>
    <row r="344" spans="1:18" x14ac:dyDescent="0.3">
      <c r="A344" s="2">
        <v>340</v>
      </c>
      <c r="B344" s="2">
        <v>1</v>
      </c>
      <c r="C344" s="2">
        <v>19</v>
      </c>
      <c r="D344" s="2">
        <f t="shared" si="64"/>
        <v>361</v>
      </c>
      <c r="E344" s="2">
        <v>70.935100000000006</v>
      </c>
      <c r="F344" s="2">
        <v>191.27359999999999</v>
      </c>
      <c r="G344" s="2">
        <v>0.118219</v>
      </c>
      <c r="H344" s="2">
        <v>2</v>
      </c>
      <c r="I344" s="3">
        <f t="shared" si="55"/>
        <v>-1.4118179964652189</v>
      </c>
      <c r="J344" s="3">
        <f t="shared" si="56"/>
        <v>-1.2853099823159346</v>
      </c>
      <c r="K344" s="3">
        <f t="shared" si="57"/>
        <v>-0.39011408488151744</v>
      </c>
      <c r="L344" s="3">
        <f t="shared" si="58"/>
        <v>1.16520833398594</v>
      </c>
      <c r="M344" s="3">
        <f t="shared" si="59"/>
        <v>-1.3009761035560559</v>
      </c>
      <c r="N344" s="3">
        <f t="shared" si="60"/>
        <v>-0.86179582596158</v>
      </c>
      <c r="O344" s="3">
        <f t="shared" si="61"/>
        <v>0.30192680392317994</v>
      </c>
      <c r="P344" s="3">
        <f t="shared" si="62"/>
        <v>0.57491347234793277</v>
      </c>
      <c r="Q344" s="3">
        <f t="shared" si="63"/>
        <v>-0.55353573238163056</v>
      </c>
      <c r="R344" s="3">
        <f t="shared" si="65"/>
        <v>0.42508652765206723</v>
      </c>
    </row>
    <row r="345" spans="1:18" x14ac:dyDescent="0.3">
      <c r="A345" s="2">
        <v>341</v>
      </c>
      <c r="B345" s="2">
        <v>0</v>
      </c>
      <c r="C345" s="2">
        <v>34</v>
      </c>
      <c r="D345" s="2">
        <f t="shared" si="64"/>
        <v>1156</v>
      </c>
      <c r="E345" s="2">
        <v>62.701300000000003</v>
      </c>
      <c r="F345" s="2">
        <v>175.52090000000001</v>
      </c>
      <c r="G345" s="2">
        <v>3.1000000000000001E-5</v>
      </c>
      <c r="H345" s="2">
        <v>5</v>
      </c>
      <c r="I345" s="3">
        <f t="shared" si="55"/>
        <v>0.8823288941184968</v>
      </c>
      <c r="J345" s="3">
        <f t="shared" si="56"/>
        <v>0.84927919610207925</v>
      </c>
      <c r="K345" s="3">
        <f t="shared" si="57"/>
        <v>-1.2224313365021373</v>
      </c>
      <c r="L345" s="3">
        <f t="shared" si="58"/>
        <v>-0.42775630327671837</v>
      </c>
      <c r="M345" s="3">
        <f t="shared" si="59"/>
        <v>-1.7139546326927413</v>
      </c>
      <c r="N345" s="3">
        <f t="shared" si="60"/>
        <v>0.90176998432814681</v>
      </c>
      <c r="O345" s="3">
        <f t="shared" si="61"/>
        <v>-5.9285725138051491E-2</v>
      </c>
      <c r="P345" s="3">
        <f t="shared" si="62"/>
        <v>0.48518290838395928</v>
      </c>
      <c r="Q345" s="3">
        <f t="shared" si="63"/>
        <v>-0.66394360331393021</v>
      </c>
      <c r="R345" s="3">
        <f t="shared" si="65"/>
        <v>-0.48518290838395928</v>
      </c>
    </row>
    <row r="346" spans="1:18" x14ac:dyDescent="0.3">
      <c r="A346" s="2">
        <v>342</v>
      </c>
      <c r="B346" s="2">
        <v>0</v>
      </c>
      <c r="C346" s="2">
        <v>25</v>
      </c>
      <c r="D346" s="2">
        <f t="shared" si="64"/>
        <v>625</v>
      </c>
      <c r="E346" s="2">
        <v>73.2226</v>
      </c>
      <c r="F346" s="2">
        <v>167.24170000000001</v>
      </c>
      <c r="G346" s="2">
        <v>0.71213700000000002</v>
      </c>
      <c r="H346" s="2">
        <v>3</v>
      </c>
      <c r="I346" s="3">
        <f t="shared" si="55"/>
        <v>-0.49415924023173263</v>
      </c>
      <c r="J346" s="3">
        <f t="shared" si="56"/>
        <v>-0.57646527401108472</v>
      </c>
      <c r="K346" s="3">
        <f t="shared" si="57"/>
        <v>-0.15888115317535961</v>
      </c>
      <c r="L346" s="3">
        <f t="shared" si="58"/>
        <v>-1.2649761338343388</v>
      </c>
      <c r="M346" s="3">
        <f t="shared" si="59"/>
        <v>0.77432242140250018</v>
      </c>
      <c r="N346" s="3">
        <f t="shared" si="60"/>
        <v>-0.27394055586500432</v>
      </c>
      <c r="O346" s="3">
        <f t="shared" si="61"/>
        <v>1.8959347223241633E-3</v>
      </c>
      <c r="P346" s="3">
        <f t="shared" si="62"/>
        <v>0.50047398353860051</v>
      </c>
      <c r="Q346" s="3">
        <f t="shared" si="63"/>
        <v>-0.69409559724209902</v>
      </c>
      <c r="R346" s="3">
        <f t="shared" si="65"/>
        <v>-0.50047398353860051</v>
      </c>
    </row>
    <row r="347" spans="1:18" x14ac:dyDescent="0.3">
      <c r="A347" s="2">
        <v>343</v>
      </c>
      <c r="B347" s="2">
        <v>1</v>
      </c>
      <c r="C347" s="2">
        <v>18</v>
      </c>
      <c r="D347" s="2">
        <f t="shared" si="64"/>
        <v>324</v>
      </c>
      <c r="E347" s="2">
        <v>81.486400000000003</v>
      </c>
      <c r="F347" s="2">
        <v>179.6986</v>
      </c>
      <c r="G347" s="2">
        <v>0.35659600000000002</v>
      </c>
      <c r="H347" s="2">
        <v>2</v>
      </c>
      <c r="I347" s="3">
        <f t="shared" si="55"/>
        <v>-1.5647611225041334</v>
      </c>
      <c r="J347" s="3">
        <f t="shared" si="56"/>
        <v>-1.3846556421919931</v>
      </c>
      <c r="K347" s="3">
        <f t="shared" si="57"/>
        <v>0.67646866148402962</v>
      </c>
      <c r="L347" s="3">
        <f t="shared" si="58"/>
        <v>-5.2935911643695027E-3</v>
      </c>
      <c r="M347" s="3">
        <f t="shared" si="59"/>
        <v>-0.46802704916799936</v>
      </c>
      <c r="N347" s="3">
        <f t="shared" si="60"/>
        <v>-0.86179582596158</v>
      </c>
      <c r="O347" s="3">
        <f t="shared" si="61"/>
        <v>0.34383631101056594</v>
      </c>
      <c r="P347" s="3">
        <f t="shared" si="62"/>
        <v>0.5851221067198028</v>
      </c>
      <c r="Q347" s="3">
        <f t="shared" si="63"/>
        <v>-0.53593472409567799</v>
      </c>
      <c r="R347" s="3">
        <f t="shared" si="65"/>
        <v>0.4148778932801972</v>
      </c>
    </row>
    <row r="348" spans="1:18" x14ac:dyDescent="0.3">
      <c r="A348" s="2">
        <v>344</v>
      </c>
      <c r="B348" s="2">
        <v>1</v>
      </c>
      <c r="C348" s="2">
        <v>26</v>
      </c>
      <c r="D348" s="2">
        <f t="shared" si="64"/>
        <v>676</v>
      </c>
      <c r="E348" s="2">
        <v>84.873099999999994</v>
      </c>
      <c r="F348" s="2">
        <v>174.3229</v>
      </c>
      <c r="G348" s="2">
        <v>0.25448100000000001</v>
      </c>
      <c r="H348" s="2">
        <v>4</v>
      </c>
      <c r="I348" s="3">
        <f t="shared" si="55"/>
        <v>-0.34121611419281822</v>
      </c>
      <c r="J348" s="3">
        <f t="shared" si="56"/>
        <v>-0.43952936445219321</v>
      </c>
      <c r="K348" s="3">
        <f t="shared" si="57"/>
        <v>1.018814702930694</v>
      </c>
      <c r="L348" s="3">
        <f t="shared" si="58"/>
        <v>-0.54890198848882044</v>
      </c>
      <c r="M348" s="3">
        <f t="shared" si="59"/>
        <v>-0.82484248307662478</v>
      </c>
      <c r="N348" s="3">
        <f t="shared" si="60"/>
        <v>0.31391471423157125</v>
      </c>
      <c r="O348" s="3">
        <f t="shared" si="61"/>
        <v>0.13583192832426211</v>
      </c>
      <c r="P348" s="3">
        <f t="shared" si="62"/>
        <v>0.53390586695051367</v>
      </c>
      <c r="Q348" s="3">
        <f t="shared" si="63"/>
        <v>-0.62753573467982049</v>
      </c>
      <c r="R348" s="3">
        <f t="shared" si="65"/>
        <v>0.46609413304948633</v>
      </c>
    </row>
    <row r="349" spans="1:18" x14ac:dyDescent="0.3">
      <c r="A349" s="2">
        <v>345</v>
      </c>
      <c r="B349" s="2">
        <v>1</v>
      </c>
      <c r="C349" s="2">
        <v>28</v>
      </c>
      <c r="D349" s="2">
        <f t="shared" si="64"/>
        <v>784</v>
      </c>
      <c r="E349" s="2">
        <v>86.218500000000006</v>
      </c>
      <c r="F349" s="2">
        <v>164.75479999999999</v>
      </c>
      <c r="G349" s="2">
        <v>1.2897E-2</v>
      </c>
      <c r="H349" s="2">
        <v>1</v>
      </c>
      <c r="I349" s="3">
        <f t="shared" si="55"/>
        <v>-3.5329862114989473E-2</v>
      </c>
      <c r="J349" s="3">
        <f t="shared" si="56"/>
        <v>-0.14954743832748191</v>
      </c>
      <c r="K349" s="3">
        <f t="shared" si="57"/>
        <v>1.1548150466760352</v>
      </c>
      <c r="L349" s="3">
        <f t="shared" si="58"/>
        <v>-1.5164596100897454</v>
      </c>
      <c r="M349" s="3">
        <f t="shared" si="59"/>
        <v>-1.668997600203211</v>
      </c>
      <c r="N349" s="3">
        <f t="shared" si="60"/>
        <v>-1.4496510960581555</v>
      </c>
      <c r="O349" s="3">
        <f t="shared" si="61"/>
        <v>0.14989164994763959</v>
      </c>
      <c r="P349" s="3">
        <f t="shared" si="62"/>
        <v>0.53740290951914671</v>
      </c>
      <c r="Q349" s="3">
        <f t="shared" si="63"/>
        <v>-0.62100716874925643</v>
      </c>
      <c r="R349" s="3">
        <f t="shared" si="65"/>
        <v>0.46259709048085329</v>
      </c>
    </row>
    <row r="350" spans="1:18" x14ac:dyDescent="0.3">
      <c r="A350" s="2">
        <v>346</v>
      </c>
      <c r="B350" s="2">
        <v>1</v>
      </c>
      <c r="C350" s="2">
        <v>39</v>
      </c>
      <c r="D350" s="2">
        <f t="shared" si="64"/>
        <v>1521</v>
      </c>
      <c r="E350" s="2">
        <v>88.105400000000003</v>
      </c>
      <c r="F350" s="2">
        <v>182.4092</v>
      </c>
      <c r="G350" s="2">
        <v>0.54029899999999997</v>
      </c>
      <c r="H350" s="2">
        <v>2</v>
      </c>
      <c r="I350" s="3">
        <f t="shared" si="55"/>
        <v>1.6470445243130687</v>
      </c>
      <c r="J350" s="3">
        <f t="shared" si="56"/>
        <v>1.829310705690224</v>
      </c>
      <c r="K350" s="3">
        <f t="shared" si="57"/>
        <v>1.3455531532711609</v>
      </c>
      <c r="L350" s="3">
        <f t="shared" si="58"/>
        <v>0.26881116203756844</v>
      </c>
      <c r="M350" s="3">
        <f t="shared" si="59"/>
        <v>0.17387732977061088</v>
      </c>
      <c r="N350" s="3">
        <f t="shared" si="60"/>
        <v>-0.86179582596158</v>
      </c>
      <c r="O350" s="3">
        <f t="shared" si="61"/>
        <v>8.8288996117978885E-2</v>
      </c>
      <c r="P350" s="3">
        <f t="shared" si="62"/>
        <v>0.52205792252951122</v>
      </c>
      <c r="Q350" s="3">
        <f t="shared" si="63"/>
        <v>-0.64997673455519034</v>
      </c>
      <c r="R350" s="3">
        <f t="shared" si="65"/>
        <v>0.47794207747048878</v>
      </c>
    </row>
    <row r="351" spans="1:18" x14ac:dyDescent="0.3">
      <c r="A351" s="2">
        <v>347</v>
      </c>
      <c r="B351" s="2">
        <v>1</v>
      </c>
      <c r="C351" s="2">
        <v>33</v>
      </c>
      <c r="D351" s="2">
        <f t="shared" si="64"/>
        <v>1089</v>
      </c>
      <c r="E351" s="2">
        <v>72.775899999999993</v>
      </c>
      <c r="F351" s="2">
        <v>182.65889999999999</v>
      </c>
      <c r="G351" s="2">
        <v>0.85115099999999999</v>
      </c>
      <c r="H351" s="2">
        <v>2</v>
      </c>
      <c r="I351" s="3">
        <f t="shared" si="55"/>
        <v>0.72938576807958244</v>
      </c>
      <c r="J351" s="3">
        <f t="shared" si="56"/>
        <v>0.66938300119137872</v>
      </c>
      <c r="K351" s="3">
        <f t="shared" si="57"/>
        <v>-0.20403601682263506</v>
      </c>
      <c r="L351" s="3">
        <f t="shared" si="58"/>
        <v>0.29406164417234348</v>
      </c>
      <c r="M351" s="3">
        <f t="shared" si="59"/>
        <v>1.2600722204464569</v>
      </c>
      <c r="N351" s="3">
        <f t="shared" si="60"/>
        <v>-0.86179582596158</v>
      </c>
      <c r="O351" s="3">
        <f t="shared" si="61"/>
        <v>-7.4962268931083736E-2</v>
      </c>
      <c r="P351" s="3">
        <f t="shared" si="62"/>
        <v>0.48126820364295042</v>
      </c>
      <c r="Q351" s="3">
        <f t="shared" si="63"/>
        <v>-0.73133056834393351</v>
      </c>
      <c r="R351" s="3">
        <f t="shared" si="65"/>
        <v>0.51873179635704958</v>
      </c>
    </row>
    <row r="352" spans="1:18" x14ac:dyDescent="0.3">
      <c r="A352" s="2">
        <v>348</v>
      </c>
      <c r="B352" s="2">
        <v>0</v>
      </c>
      <c r="C352" s="2">
        <v>24</v>
      </c>
      <c r="D352" s="2">
        <f t="shared" si="64"/>
        <v>576</v>
      </c>
      <c r="E352" s="2">
        <v>63.5304</v>
      </c>
      <c r="F352" s="2">
        <v>197.69120000000001</v>
      </c>
      <c r="G352" s="2">
        <v>0.95763200000000004</v>
      </c>
      <c r="H352" s="2">
        <v>6</v>
      </c>
      <c r="I352" s="3">
        <f t="shared" si="55"/>
        <v>-0.64710236627064699</v>
      </c>
      <c r="J352" s="3">
        <f t="shared" si="56"/>
        <v>-0.70803114790099997</v>
      </c>
      <c r="K352" s="3">
        <f t="shared" si="57"/>
        <v>-1.1386214026540169</v>
      </c>
      <c r="L352" s="3">
        <f t="shared" si="58"/>
        <v>1.8141770730653923</v>
      </c>
      <c r="M352" s="3">
        <f t="shared" si="59"/>
        <v>1.6321435539236577</v>
      </c>
      <c r="N352" s="3">
        <f t="shared" si="60"/>
        <v>1.4896252544247224</v>
      </c>
      <c r="O352" s="3">
        <f t="shared" si="61"/>
        <v>-3.0251215062967098E-2</v>
      </c>
      <c r="P352" s="3">
        <f t="shared" si="62"/>
        <v>0.49243777293098961</v>
      </c>
      <c r="Q352" s="3">
        <f t="shared" si="63"/>
        <v>-0.67813596066848281</v>
      </c>
      <c r="R352" s="3">
        <f t="shared" si="65"/>
        <v>-0.49243777293098961</v>
      </c>
    </row>
    <row r="353" spans="1:18" x14ac:dyDescent="0.3">
      <c r="A353" s="2">
        <v>349</v>
      </c>
      <c r="B353" s="2">
        <v>1</v>
      </c>
      <c r="C353" s="2">
        <v>27</v>
      </c>
      <c r="D353" s="2">
        <f t="shared" si="64"/>
        <v>729</v>
      </c>
      <c r="E353" s="2">
        <v>73.854100000000003</v>
      </c>
      <c r="F353" s="2">
        <v>176.38239999999999</v>
      </c>
      <c r="G353" s="2">
        <v>0.56574500000000005</v>
      </c>
      <c r="H353" s="2">
        <v>5</v>
      </c>
      <c r="I353" s="3">
        <f t="shared" si="55"/>
        <v>-0.18827298815390386</v>
      </c>
      <c r="J353" s="3">
        <f t="shared" si="56"/>
        <v>-0.29722341922432566</v>
      </c>
      <c r="K353" s="3">
        <f t="shared" si="57"/>
        <v>-9.5045701209265768E-2</v>
      </c>
      <c r="L353" s="3">
        <f t="shared" si="58"/>
        <v>-0.3406386005970668</v>
      </c>
      <c r="M353" s="3">
        <f t="shared" si="59"/>
        <v>0.26279203898315467</v>
      </c>
      <c r="N353" s="3">
        <f t="shared" si="60"/>
        <v>0.90176998432814681</v>
      </c>
      <c r="O353" s="3">
        <f t="shared" si="61"/>
        <v>-4.2989076924202126E-3</v>
      </c>
      <c r="P353" s="3">
        <f t="shared" si="62"/>
        <v>0.49892527473202575</v>
      </c>
      <c r="Q353" s="3">
        <f t="shared" si="63"/>
        <v>-0.69529894448029506</v>
      </c>
      <c r="R353" s="3">
        <f t="shared" si="65"/>
        <v>0.50107472526797425</v>
      </c>
    </row>
    <row r="354" spans="1:18" x14ac:dyDescent="0.3">
      <c r="A354" s="2">
        <v>350</v>
      </c>
      <c r="B354" s="2">
        <v>1</v>
      </c>
      <c r="C354" s="2">
        <v>20</v>
      </c>
      <c r="D354" s="2">
        <f t="shared" si="64"/>
        <v>400</v>
      </c>
      <c r="E354" s="2">
        <v>81.332700000000003</v>
      </c>
      <c r="F354" s="2">
        <v>182.80119999999999</v>
      </c>
      <c r="G354" s="2">
        <v>0.51446099999999995</v>
      </c>
      <c r="H354" s="2">
        <v>3</v>
      </c>
      <c r="I354" s="3">
        <f t="shared" si="55"/>
        <v>-1.2588748704263044</v>
      </c>
      <c r="J354" s="3">
        <f t="shared" si="56"/>
        <v>-1.1805942867708998</v>
      </c>
      <c r="K354" s="3">
        <f t="shared" si="57"/>
        <v>0.66093183018206825</v>
      </c>
      <c r="L354" s="3">
        <f t="shared" si="58"/>
        <v>0.30845148641414877</v>
      </c>
      <c r="M354" s="3">
        <f t="shared" si="59"/>
        <v>8.3592874192771449E-2</v>
      </c>
      <c r="N354" s="3">
        <f t="shared" si="60"/>
        <v>-0.27394055586500432</v>
      </c>
      <c r="O354" s="3">
        <f t="shared" si="61"/>
        <v>0.25154045180947437</v>
      </c>
      <c r="P354" s="3">
        <f t="shared" si="62"/>
        <v>0.56255562219175148</v>
      </c>
      <c r="Q354" s="3">
        <f t="shared" si="63"/>
        <v>-0.57526526589580496</v>
      </c>
      <c r="R354" s="3">
        <f t="shared" si="65"/>
        <v>0.43744437780824852</v>
      </c>
    </row>
    <row r="355" spans="1:18" x14ac:dyDescent="0.3">
      <c r="A355" s="2">
        <v>351</v>
      </c>
      <c r="B355" s="2">
        <v>1</v>
      </c>
      <c r="C355" s="2">
        <v>35</v>
      </c>
      <c r="D355" s="2">
        <f t="shared" si="64"/>
        <v>1225</v>
      </c>
      <c r="E355" s="2">
        <v>62.727400000000003</v>
      </c>
      <c r="F355" s="2">
        <v>173.3451</v>
      </c>
      <c r="G355" s="2">
        <v>8.5056000000000007E-2</v>
      </c>
      <c r="H355" s="2">
        <v>3</v>
      </c>
      <c r="I355" s="3">
        <f t="shared" si="55"/>
        <v>1.0352720201574113</v>
      </c>
      <c r="J355" s="3">
        <f t="shared" si="56"/>
        <v>1.034545426681756</v>
      </c>
      <c r="K355" s="3">
        <f t="shared" si="57"/>
        <v>-1.219793006658408</v>
      </c>
      <c r="L355" s="3">
        <f t="shared" si="58"/>
        <v>-0.64778032822203657</v>
      </c>
      <c r="M355" s="3">
        <f t="shared" si="59"/>
        <v>-1.4168559472098947</v>
      </c>
      <c r="N355" s="3">
        <f t="shared" si="60"/>
        <v>-0.27394055586500432</v>
      </c>
      <c r="O355" s="3">
        <f t="shared" si="61"/>
        <v>-6.0952408055372352E-2</v>
      </c>
      <c r="P355" s="3">
        <f t="shared" si="62"/>
        <v>0.48476661394545811</v>
      </c>
      <c r="Q355" s="3">
        <f t="shared" si="63"/>
        <v>-0.7240877122224334</v>
      </c>
      <c r="R355" s="3">
        <f t="shared" si="65"/>
        <v>0.51523338605454194</v>
      </c>
    </row>
    <row r="356" spans="1:18" x14ac:dyDescent="0.3">
      <c r="A356" s="2">
        <v>352</v>
      </c>
      <c r="B356" s="2">
        <v>0</v>
      </c>
      <c r="C356" s="2">
        <v>30</v>
      </c>
      <c r="D356" s="2">
        <f t="shared" si="64"/>
        <v>900</v>
      </c>
      <c r="E356" s="2">
        <v>91.601399999999998</v>
      </c>
      <c r="F356" s="2">
        <v>188.73169999999999</v>
      </c>
      <c r="G356" s="2">
        <v>0.54887300000000006</v>
      </c>
      <c r="H356" s="2">
        <v>1</v>
      </c>
      <c r="I356" s="3">
        <f t="shared" si="55"/>
        <v>0.27055638996283926</v>
      </c>
      <c r="J356" s="3">
        <f t="shared" si="56"/>
        <v>0.16191463047313392</v>
      </c>
      <c r="K356" s="3">
        <f t="shared" si="57"/>
        <v>1.6989478327224083</v>
      </c>
      <c r="L356" s="3">
        <f t="shared" si="58"/>
        <v>0.90816307752463787</v>
      </c>
      <c r="M356" s="3">
        <f t="shared" si="59"/>
        <v>0.20383703726052502</v>
      </c>
      <c r="N356" s="3">
        <f t="shared" si="60"/>
        <v>-1.4496510960581555</v>
      </c>
      <c r="O356" s="3">
        <f t="shared" si="61"/>
        <v>0.13777040597672438</v>
      </c>
      <c r="P356" s="3">
        <f t="shared" si="62"/>
        <v>0.53438822602010794</v>
      </c>
      <c r="Q356" s="3">
        <f t="shared" si="63"/>
        <v>-0.76440309512713878</v>
      </c>
      <c r="R356" s="3">
        <f t="shared" si="65"/>
        <v>-0.53438822602010794</v>
      </c>
    </row>
    <row r="357" spans="1:18" x14ac:dyDescent="0.3">
      <c r="A357" s="2">
        <v>353</v>
      </c>
      <c r="B357" s="2">
        <v>1</v>
      </c>
      <c r="C357" s="2">
        <v>24</v>
      </c>
      <c r="D357" s="2">
        <f t="shared" si="64"/>
        <v>576</v>
      </c>
      <c r="E357" s="2">
        <v>83.978899999999996</v>
      </c>
      <c r="F357" s="2">
        <v>178.75380000000001</v>
      </c>
      <c r="G357" s="2">
        <v>0.37997900000000001</v>
      </c>
      <c r="H357" s="2">
        <v>4</v>
      </c>
      <c r="I357" s="3">
        <f t="shared" si="55"/>
        <v>-0.64710236627064699</v>
      </c>
      <c r="J357" s="3">
        <f t="shared" si="56"/>
        <v>-0.70803114790099997</v>
      </c>
      <c r="K357" s="3">
        <f t="shared" si="57"/>
        <v>0.92842410728844416</v>
      </c>
      <c r="L357" s="3">
        <f t="shared" si="58"/>
        <v>-0.10083486277404534</v>
      </c>
      <c r="M357" s="3">
        <f t="shared" si="59"/>
        <v>-0.38632097962791828</v>
      </c>
      <c r="N357" s="3">
        <f t="shared" si="60"/>
        <v>0.31391471423157125</v>
      </c>
      <c r="O357" s="3">
        <f t="shared" si="61"/>
        <v>0.1630553631730535</v>
      </c>
      <c r="P357" s="3">
        <f t="shared" si="62"/>
        <v>0.54067376441115478</v>
      </c>
      <c r="Q357" s="3">
        <f t="shared" si="63"/>
        <v>-0.61493920529689883</v>
      </c>
      <c r="R357" s="3">
        <f t="shared" si="65"/>
        <v>0.45932623558884522</v>
      </c>
    </row>
    <row r="358" spans="1:18" x14ac:dyDescent="0.3">
      <c r="A358" s="2">
        <v>354</v>
      </c>
      <c r="B358" s="2">
        <v>1</v>
      </c>
      <c r="C358" s="2">
        <v>21</v>
      </c>
      <c r="D358" s="2">
        <f t="shared" si="64"/>
        <v>441</v>
      </c>
      <c r="E358" s="2">
        <v>72.934299999999993</v>
      </c>
      <c r="F358" s="2">
        <v>168.2741</v>
      </c>
      <c r="G358" s="2">
        <v>0.60713499999999998</v>
      </c>
      <c r="H358" s="2">
        <v>1</v>
      </c>
      <c r="I358" s="3">
        <f t="shared" si="55"/>
        <v>-1.1059317443873902</v>
      </c>
      <c r="J358" s="3">
        <f t="shared" si="56"/>
        <v>-1.0705085555568892</v>
      </c>
      <c r="K358" s="3">
        <f t="shared" si="57"/>
        <v>-0.18802408397793316</v>
      </c>
      <c r="L358" s="3">
        <f t="shared" si="58"/>
        <v>-1.160576463205814</v>
      </c>
      <c r="M358" s="3">
        <f t="shared" si="59"/>
        <v>0.40741908505354568</v>
      </c>
      <c r="N358" s="3">
        <f t="shared" si="60"/>
        <v>-1.4496510960581555</v>
      </c>
      <c r="O358" s="3">
        <f t="shared" si="61"/>
        <v>0.13420040339255995</v>
      </c>
      <c r="P358" s="3">
        <f t="shared" si="62"/>
        <v>0.5334998389606993</v>
      </c>
      <c r="Q358" s="3">
        <f t="shared" si="63"/>
        <v>-0.62829651009473386</v>
      </c>
      <c r="R358" s="3">
        <f t="shared" si="65"/>
        <v>0.4665001610393007</v>
      </c>
    </row>
    <row r="359" spans="1:18" x14ac:dyDescent="0.3">
      <c r="A359" s="2">
        <v>355</v>
      </c>
      <c r="B359" s="2">
        <v>1</v>
      </c>
      <c r="C359" s="2">
        <v>30</v>
      </c>
      <c r="D359" s="2">
        <f t="shared" si="64"/>
        <v>900</v>
      </c>
      <c r="E359" s="2">
        <v>67.891300000000001</v>
      </c>
      <c r="F359" s="2">
        <v>179.86529999999999</v>
      </c>
      <c r="G359" s="2">
        <v>0.38872600000000002</v>
      </c>
      <c r="H359" s="2">
        <v>2</v>
      </c>
      <c r="I359" s="3">
        <f t="shared" si="55"/>
        <v>0.27055638996283926</v>
      </c>
      <c r="J359" s="3">
        <f t="shared" si="56"/>
        <v>0.16191463047313392</v>
      </c>
      <c r="K359" s="3">
        <f t="shared" si="57"/>
        <v>-0.69779793079505015</v>
      </c>
      <c r="L359" s="3">
        <f t="shared" si="58"/>
        <v>1.1563659023323543E-2</v>
      </c>
      <c r="M359" s="3">
        <f t="shared" si="59"/>
        <v>-0.35575676672678969</v>
      </c>
      <c r="N359" s="3">
        <f t="shared" si="60"/>
        <v>-0.86179582596158</v>
      </c>
      <c r="O359" s="3">
        <f t="shared" si="61"/>
        <v>-2.4553761341593122E-2</v>
      </c>
      <c r="P359" s="3">
        <f t="shared" si="62"/>
        <v>0.49386186804493332</v>
      </c>
      <c r="Q359" s="3">
        <f t="shared" si="63"/>
        <v>-0.70549942023723211</v>
      </c>
      <c r="R359" s="3">
        <f t="shared" si="65"/>
        <v>0.50613813195506663</v>
      </c>
    </row>
    <row r="360" spans="1:18" x14ac:dyDescent="0.3">
      <c r="A360" s="2">
        <v>356</v>
      </c>
      <c r="B360" s="2">
        <v>0</v>
      </c>
      <c r="C360" s="2">
        <v>37</v>
      </c>
      <c r="D360" s="2">
        <f t="shared" si="64"/>
        <v>1369</v>
      </c>
      <c r="E360" s="2">
        <v>68.308800000000005</v>
      </c>
      <c r="F360" s="2">
        <v>183.90520000000001</v>
      </c>
      <c r="G360" s="2">
        <v>0.24029900000000001</v>
      </c>
      <c r="H360" s="2">
        <v>2</v>
      </c>
      <c r="I360" s="3">
        <f t="shared" si="55"/>
        <v>1.34115827223524</v>
      </c>
      <c r="J360" s="3">
        <f t="shared" si="56"/>
        <v>1.4211879948480377</v>
      </c>
      <c r="K360" s="3">
        <f t="shared" si="57"/>
        <v>-0.6555947618388438</v>
      </c>
      <c r="L360" s="3">
        <f t="shared" si="58"/>
        <v>0.42009158363798971</v>
      </c>
      <c r="M360" s="3">
        <f t="shared" si="59"/>
        <v>-0.87439794979250529</v>
      </c>
      <c r="N360" s="3">
        <f t="shared" si="60"/>
        <v>-0.86179582596158</v>
      </c>
      <c r="O360" s="3">
        <f t="shared" si="61"/>
        <v>-8.7087406393484505E-3</v>
      </c>
      <c r="P360" s="3">
        <f t="shared" si="62"/>
        <v>0.49782282860026122</v>
      </c>
      <c r="Q360" s="3">
        <f t="shared" si="63"/>
        <v>-0.68880229048075314</v>
      </c>
      <c r="R360" s="3">
        <f t="shared" si="65"/>
        <v>-0.49782282860026122</v>
      </c>
    </row>
    <row r="361" spans="1:18" x14ac:dyDescent="0.3">
      <c r="A361" s="2">
        <v>357</v>
      </c>
      <c r="B361" s="2">
        <v>1</v>
      </c>
      <c r="C361" s="2">
        <v>18</v>
      </c>
      <c r="D361" s="2">
        <f t="shared" si="64"/>
        <v>324</v>
      </c>
      <c r="E361" s="2">
        <v>75.742099999999994</v>
      </c>
      <c r="F361" s="2">
        <v>182.55269999999999</v>
      </c>
      <c r="G361" s="2">
        <v>9.4964999999999994E-2</v>
      </c>
      <c r="H361" s="2">
        <v>3</v>
      </c>
      <c r="I361" s="3">
        <f t="shared" si="55"/>
        <v>-1.5647611225041334</v>
      </c>
      <c r="J361" s="3">
        <f t="shared" si="56"/>
        <v>-1.3846556421919931</v>
      </c>
      <c r="K361" s="3">
        <f t="shared" si="57"/>
        <v>9.5803599363947375E-2</v>
      </c>
      <c r="L361" s="3">
        <f t="shared" si="58"/>
        <v>0.28332235221113705</v>
      </c>
      <c r="M361" s="3">
        <f t="shared" si="59"/>
        <v>-1.3822314147259249</v>
      </c>
      <c r="N361" s="3">
        <f t="shared" si="60"/>
        <v>-0.27394055586500432</v>
      </c>
      <c r="O361" s="3">
        <f t="shared" si="61"/>
        <v>0.34311497244206923</v>
      </c>
      <c r="P361" s="3">
        <f t="shared" si="62"/>
        <v>0.58494698798821754</v>
      </c>
      <c r="Q361" s="3">
        <f t="shared" si="63"/>
        <v>-0.53623405467997398</v>
      </c>
      <c r="R361" s="3">
        <f t="shared" si="65"/>
        <v>0.41505301201178246</v>
      </c>
    </row>
    <row r="362" spans="1:18" x14ac:dyDescent="0.3">
      <c r="A362" s="2">
        <v>358</v>
      </c>
      <c r="B362" s="2">
        <v>1</v>
      </c>
      <c r="C362" s="2">
        <v>25</v>
      </c>
      <c r="D362" s="2">
        <f t="shared" si="64"/>
        <v>625</v>
      </c>
      <c r="E362" s="2">
        <v>72.706000000000003</v>
      </c>
      <c r="F362" s="2">
        <v>190.459</v>
      </c>
      <c r="G362" s="2">
        <v>0.31491799999999998</v>
      </c>
      <c r="H362" s="2">
        <v>4</v>
      </c>
      <c r="I362" s="3">
        <f t="shared" si="55"/>
        <v>-0.49415924023173263</v>
      </c>
      <c r="J362" s="3">
        <f t="shared" si="56"/>
        <v>-0.57646527401108472</v>
      </c>
      <c r="K362" s="3">
        <f t="shared" si="57"/>
        <v>-0.21110188870296648</v>
      </c>
      <c r="L362" s="3">
        <f t="shared" si="58"/>
        <v>1.0828333129727716</v>
      </c>
      <c r="M362" s="3">
        <f t="shared" si="59"/>
        <v>-0.6136604395067714</v>
      </c>
      <c r="N362" s="3">
        <f t="shared" si="60"/>
        <v>0.31391471423157125</v>
      </c>
      <c r="O362" s="3">
        <f t="shared" si="61"/>
        <v>0.10368361985623066</v>
      </c>
      <c r="P362" s="3">
        <f t="shared" si="62"/>
        <v>0.52589770845700712</v>
      </c>
      <c r="Q362" s="3">
        <f t="shared" si="63"/>
        <v>-0.64264855577034385</v>
      </c>
      <c r="R362" s="3">
        <f t="shared" si="65"/>
        <v>0.47410229154299288</v>
      </c>
    </row>
    <row r="363" spans="1:18" x14ac:dyDescent="0.3">
      <c r="A363" s="2">
        <v>359</v>
      </c>
      <c r="B363" s="2">
        <v>1</v>
      </c>
      <c r="C363" s="2">
        <v>31</v>
      </c>
      <c r="D363" s="2">
        <f t="shared" si="64"/>
        <v>961</v>
      </c>
      <c r="E363" s="2">
        <v>84.504999999999995</v>
      </c>
      <c r="F363" s="2">
        <v>165.51939999999999</v>
      </c>
      <c r="G363" s="2">
        <v>9.6644999999999995E-2</v>
      </c>
      <c r="H363" s="2">
        <v>5</v>
      </c>
      <c r="I363" s="3">
        <f t="shared" si="55"/>
        <v>0.42349951600175367</v>
      </c>
      <c r="J363" s="3">
        <f t="shared" si="56"/>
        <v>0.32570071837690606</v>
      </c>
      <c r="K363" s="3">
        <f t="shared" si="57"/>
        <v>0.98160515444499485</v>
      </c>
      <c r="L363" s="3">
        <f t="shared" si="58"/>
        <v>-1.4391407529001188</v>
      </c>
      <c r="M363" s="3">
        <f t="shared" si="59"/>
        <v>-1.3763610731603715</v>
      </c>
      <c r="N363" s="3">
        <f t="shared" si="60"/>
        <v>0.90176998432814681</v>
      </c>
      <c r="O363" s="3">
        <f t="shared" si="61"/>
        <v>6.1694856844193437E-2</v>
      </c>
      <c r="P363" s="3">
        <f t="shared" si="62"/>
        <v>0.51541882385619198</v>
      </c>
      <c r="Q363" s="3">
        <f t="shared" si="63"/>
        <v>-0.66277545862097309</v>
      </c>
      <c r="R363" s="3">
        <f t="shared" si="65"/>
        <v>0.48458117614380802</v>
      </c>
    </row>
    <row r="364" spans="1:18" x14ac:dyDescent="0.3">
      <c r="A364" s="2">
        <v>360</v>
      </c>
      <c r="B364" s="2">
        <v>0</v>
      </c>
      <c r="C364" s="2">
        <v>33</v>
      </c>
      <c r="D364" s="2">
        <f t="shared" si="64"/>
        <v>1089</v>
      </c>
      <c r="E364" s="2">
        <v>71.5702</v>
      </c>
      <c r="F364" s="2">
        <v>171.57259999999999</v>
      </c>
      <c r="G364" s="2">
        <v>0.176897</v>
      </c>
      <c r="H364" s="2">
        <v>4</v>
      </c>
      <c r="I364" s="3">
        <f t="shared" si="55"/>
        <v>0.72938576807958244</v>
      </c>
      <c r="J364" s="3">
        <f t="shared" si="56"/>
        <v>0.66938300119137872</v>
      </c>
      <c r="K364" s="3">
        <f t="shared" si="57"/>
        <v>-0.32591472535077215</v>
      </c>
      <c r="L364" s="3">
        <f t="shared" si="58"/>
        <v>-0.82702133576665293</v>
      </c>
      <c r="M364" s="3">
        <f t="shared" si="59"/>
        <v>-1.095940447375374</v>
      </c>
      <c r="N364" s="3">
        <f t="shared" si="60"/>
        <v>0.31391471423157125</v>
      </c>
      <c r="O364" s="3">
        <f t="shared" si="61"/>
        <v>-2.5200637014344211E-2</v>
      </c>
      <c r="P364" s="3">
        <f t="shared" si="62"/>
        <v>0.49370017414652434</v>
      </c>
      <c r="Q364" s="3">
        <f t="shared" si="63"/>
        <v>-0.68062624396549598</v>
      </c>
      <c r="R364" s="3">
        <f t="shared" si="65"/>
        <v>-0.49370017414652434</v>
      </c>
    </row>
    <row r="365" spans="1:18" x14ac:dyDescent="0.3">
      <c r="A365" s="2">
        <v>361</v>
      </c>
      <c r="B365" s="2">
        <v>1</v>
      </c>
      <c r="C365" s="2">
        <v>31</v>
      </c>
      <c r="D365" s="2">
        <f t="shared" si="64"/>
        <v>961</v>
      </c>
      <c r="E365" s="2">
        <v>80.055000000000007</v>
      </c>
      <c r="F365" s="2">
        <v>186.39789999999999</v>
      </c>
      <c r="G365" s="2">
        <v>0.98733599999999999</v>
      </c>
      <c r="H365" s="2">
        <v>2</v>
      </c>
      <c r="I365" s="3">
        <f t="shared" si="55"/>
        <v>0.42349951600175367</v>
      </c>
      <c r="J365" s="3">
        <f t="shared" si="56"/>
        <v>0.32570071837690606</v>
      </c>
      <c r="K365" s="3">
        <f t="shared" si="57"/>
        <v>0.5317749703608845</v>
      </c>
      <c r="L365" s="3">
        <f t="shared" si="58"/>
        <v>0.67216157489692374</v>
      </c>
      <c r="M365" s="3">
        <f t="shared" si="59"/>
        <v>1.7359367836041335</v>
      </c>
      <c r="N365" s="3">
        <f t="shared" si="60"/>
        <v>-0.86179582596158</v>
      </c>
      <c r="O365" s="3">
        <f t="shared" si="61"/>
        <v>-2.6540665620106367E-2</v>
      </c>
      <c r="P365" s="3">
        <f t="shared" si="62"/>
        <v>0.49336522305564023</v>
      </c>
      <c r="Q365" s="3">
        <f t="shared" si="63"/>
        <v>-0.70650556165224621</v>
      </c>
      <c r="R365" s="3">
        <f t="shared" si="65"/>
        <v>0.50663477694435977</v>
      </c>
    </row>
    <row r="366" spans="1:18" x14ac:dyDescent="0.3">
      <c r="A366" s="2">
        <v>362</v>
      </c>
      <c r="B366" s="2">
        <v>1</v>
      </c>
      <c r="C366" s="2">
        <v>29</v>
      </c>
      <c r="D366" s="2">
        <f t="shared" si="64"/>
        <v>841</v>
      </c>
      <c r="E366" s="2">
        <v>74.710800000000006</v>
      </c>
      <c r="F366" s="2">
        <v>172.7473</v>
      </c>
      <c r="G366" s="2">
        <v>0.444104</v>
      </c>
      <c r="H366" s="2">
        <v>5</v>
      </c>
      <c r="I366" s="3">
        <f t="shared" si="55"/>
        <v>0.1176132639239249</v>
      </c>
      <c r="J366" s="3">
        <f t="shared" si="56"/>
        <v>3.4985782383379449E-3</v>
      </c>
      <c r="K366" s="3">
        <f t="shared" si="57"/>
        <v>-8.445809365477017E-3</v>
      </c>
      <c r="L366" s="3">
        <f t="shared" si="58"/>
        <v>-0.7082318228963228</v>
      </c>
      <c r="M366" s="3">
        <f t="shared" si="59"/>
        <v>-0.16225213862130225</v>
      </c>
      <c r="N366" s="3">
        <f t="shared" si="60"/>
        <v>0.90176998432814681</v>
      </c>
      <c r="O366" s="3">
        <f t="shared" si="61"/>
        <v>-1.7725023183155723E-2</v>
      </c>
      <c r="P366" s="3">
        <f t="shared" si="62"/>
        <v>0.49556886021691637</v>
      </c>
      <c r="Q366" s="3">
        <f t="shared" si="63"/>
        <v>-0.70204896369329106</v>
      </c>
      <c r="R366" s="3">
        <f t="shared" si="65"/>
        <v>0.50443113978308363</v>
      </c>
    </row>
    <row r="367" spans="1:18" x14ac:dyDescent="0.3">
      <c r="A367" s="2">
        <v>363</v>
      </c>
      <c r="B367" s="2">
        <v>1</v>
      </c>
      <c r="C367" s="2">
        <v>36</v>
      </c>
      <c r="D367" s="2">
        <f t="shared" si="64"/>
        <v>1296</v>
      </c>
      <c r="E367" s="2">
        <v>77.696700000000007</v>
      </c>
      <c r="F367" s="2">
        <v>182.40469999999999</v>
      </c>
      <c r="G367" s="2">
        <v>0.53187200000000001</v>
      </c>
      <c r="H367" s="2">
        <v>4</v>
      </c>
      <c r="I367" s="3">
        <f t="shared" si="55"/>
        <v>1.1882151461963255</v>
      </c>
      <c r="J367" s="3">
        <f t="shared" si="56"/>
        <v>1.2251816929304087</v>
      </c>
      <c r="K367" s="3">
        <f t="shared" si="57"/>
        <v>0.29338518988323059</v>
      </c>
      <c r="L367" s="3">
        <f t="shared" si="58"/>
        <v>0.26835610729344878</v>
      </c>
      <c r="M367" s="3">
        <f t="shared" si="59"/>
        <v>0.14443127716768306</v>
      </c>
      <c r="N367" s="3">
        <f t="shared" si="60"/>
        <v>0.31391471423157125</v>
      </c>
      <c r="O367" s="3">
        <f t="shared" si="61"/>
        <v>-1.3450539537970169E-2</v>
      </c>
      <c r="P367" s="3">
        <f t="shared" si="62"/>
        <v>0.49663741581107884</v>
      </c>
      <c r="Q367" s="3">
        <f t="shared" si="63"/>
        <v>-0.69989506478519137</v>
      </c>
      <c r="R367" s="3">
        <f t="shared" si="65"/>
        <v>0.5033625841889211</v>
      </c>
    </row>
    <row r="368" spans="1:18" x14ac:dyDescent="0.3">
      <c r="A368" s="2">
        <v>364</v>
      </c>
      <c r="B368" s="2">
        <v>0</v>
      </c>
      <c r="C368" s="2">
        <v>32</v>
      </c>
      <c r="D368" s="2">
        <f t="shared" si="64"/>
        <v>1024</v>
      </c>
      <c r="E368" s="2">
        <v>72.699399999999997</v>
      </c>
      <c r="F368" s="2">
        <v>155.80250000000001</v>
      </c>
      <c r="G368" s="2">
        <v>0.87361900000000003</v>
      </c>
      <c r="H368" s="2">
        <v>4</v>
      </c>
      <c r="I368" s="3">
        <f t="shared" si="55"/>
        <v>0.57644264204066809</v>
      </c>
      <c r="J368" s="3">
        <f t="shared" si="56"/>
        <v>0.49485684194965435</v>
      </c>
      <c r="K368" s="3">
        <f t="shared" si="57"/>
        <v>-0.21176905257149631</v>
      </c>
      <c r="L368" s="3">
        <f t="shared" si="58"/>
        <v>-2.4217455180399057</v>
      </c>
      <c r="M368" s="3">
        <f t="shared" si="59"/>
        <v>1.3385810503838707</v>
      </c>
      <c r="N368" s="3">
        <f t="shared" si="60"/>
        <v>0.31391471423157125</v>
      </c>
      <c r="O368" s="3">
        <f t="shared" si="61"/>
        <v>-0.15339010100557185</v>
      </c>
      <c r="P368" s="3">
        <f t="shared" si="62"/>
        <v>0.46172748664772822</v>
      </c>
      <c r="Q368" s="3">
        <f t="shared" si="63"/>
        <v>-0.61939031666901145</v>
      </c>
      <c r="R368" s="3">
        <f t="shared" si="65"/>
        <v>-0.46172748664772822</v>
      </c>
    </row>
    <row r="369" spans="1:18" x14ac:dyDescent="0.3">
      <c r="A369" s="2">
        <v>365</v>
      </c>
      <c r="B369" s="2">
        <v>1</v>
      </c>
      <c r="C369" s="2">
        <v>19</v>
      </c>
      <c r="D369" s="2">
        <f t="shared" si="64"/>
        <v>361</v>
      </c>
      <c r="E369" s="2">
        <v>82.077200000000005</v>
      </c>
      <c r="F369" s="2">
        <v>207.15950000000001</v>
      </c>
      <c r="G369" s="2">
        <v>0.99556900000000004</v>
      </c>
      <c r="H369" s="2">
        <v>5</v>
      </c>
      <c r="I369" s="3">
        <f t="shared" si="55"/>
        <v>-1.4118179964652189</v>
      </c>
      <c r="J369" s="3">
        <f t="shared" si="56"/>
        <v>-1.2853099823159346</v>
      </c>
      <c r="K369" s="3">
        <f t="shared" si="57"/>
        <v>0.73618993626085971</v>
      </c>
      <c r="L369" s="3">
        <f t="shared" si="58"/>
        <v>2.7716425916745231</v>
      </c>
      <c r="M369" s="3">
        <f t="shared" si="59"/>
        <v>1.7647049515262772</v>
      </c>
      <c r="N369" s="3">
        <f t="shared" si="60"/>
        <v>0.90176998432814681</v>
      </c>
      <c r="O369" s="3">
        <f t="shared" si="61"/>
        <v>0.25811567402836749</v>
      </c>
      <c r="P369" s="3">
        <f t="shared" si="62"/>
        <v>0.56417302645507439</v>
      </c>
      <c r="Q369" s="3">
        <f t="shared" si="63"/>
        <v>-0.57239429003800624</v>
      </c>
      <c r="R369" s="3">
        <f t="shared" si="65"/>
        <v>0.43582697354492561</v>
      </c>
    </row>
    <row r="370" spans="1:18" x14ac:dyDescent="0.3">
      <c r="A370" s="2">
        <v>366</v>
      </c>
      <c r="B370" s="2">
        <v>1</v>
      </c>
      <c r="C370" s="2">
        <v>19</v>
      </c>
      <c r="D370" s="2">
        <f t="shared" si="64"/>
        <v>361</v>
      </c>
      <c r="E370" s="2">
        <v>82.225399999999993</v>
      </c>
      <c r="F370" s="2">
        <v>177.30279999999999</v>
      </c>
      <c r="G370" s="2">
        <v>0.58271399999999995</v>
      </c>
      <c r="H370" s="2">
        <v>2</v>
      </c>
      <c r="I370" s="3">
        <f t="shared" si="55"/>
        <v>-1.4118179964652189</v>
      </c>
      <c r="J370" s="3">
        <f t="shared" si="56"/>
        <v>-1.2853099823159346</v>
      </c>
      <c r="K370" s="3">
        <f t="shared" si="57"/>
        <v>0.75117079767237882</v>
      </c>
      <c r="L370" s="3">
        <f t="shared" si="58"/>
        <v>-0.24756473693327874</v>
      </c>
      <c r="M370" s="3">
        <f t="shared" si="59"/>
        <v>0.32208598304617603</v>
      </c>
      <c r="N370" s="3">
        <f t="shared" si="60"/>
        <v>-0.86179582596158</v>
      </c>
      <c r="O370" s="3">
        <f t="shared" si="61"/>
        <v>0.27502130082873461</v>
      </c>
      <c r="P370" s="3">
        <f t="shared" si="62"/>
        <v>0.56832520925364927</v>
      </c>
      <c r="Q370" s="3">
        <f t="shared" si="63"/>
        <v>-0.56506147260315698</v>
      </c>
      <c r="R370" s="3">
        <f t="shared" si="65"/>
        <v>0.43167479074635073</v>
      </c>
    </row>
    <row r="371" spans="1:18" x14ac:dyDescent="0.3">
      <c r="A371" s="2">
        <v>367</v>
      </c>
      <c r="B371" s="2">
        <v>1</v>
      </c>
      <c r="C371" s="2">
        <v>39</v>
      </c>
      <c r="D371" s="2">
        <f t="shared" si="64"/>
        <v>1521</v>
      </c>
      <c r="E371" s="2">
        <v>79.599299999999999</v>
      </c>
      <c r="F371" s="2">
        <v>191.93960000000001</v>
      </c>
      <c r="G371" s="2">
        <v>0.81247400000000003</v>
      </c>
      <c r="H371" s="2">
        <v>4</v>
      </c>
      <c r="I371" s="3">
        <f t="shared" si="55"/>
        <v>1.6470445243130687</v>
      </c>
      <c r="J371" s="3">
        <f t="shared" si="56"/>
        <v>1.829310705690224</v>
      </c>
      <c r="K371" s="3">
        <f t="shared" si="57"/>
        <v>0.48571033780197825</v>
      </c>
      <c r="L371" s="3">
        <f t="shared" si="58"/>
        <v>1.2325564361155417</v>
      </c>
      <c r="M371" s="3">
        <f t="shared" si="59"/>
        <v>1.1249250771542483</v>
      </c>
      <c r="N371" s="3">
        <f t="shared" si="60"/>
        <v>0.31391471423157125</v>
      </c>
      <c r="O371" s="3">
        <f t="shared" si="61"/>
        <v>-2.5579357395435201E-3</v>
      </c>
      <c r="P371" s="3">
        <f t="shared" si="62"/>
        <v>0.49936051641379436</v>
      </c>
      <c r="Q371" s="3">
        <f t="shared" si="63"/>
        <v>-0.69442696630890011</v>
      </c>
      <c r="R371" s="3">
        <f t="shared" si="65"/>
        <v>0.50063948358620558</v>
      </c>
    </row>
    <row r="372" spans="1:18" x14ac:dyDescent="0.3">
      <c r="A372" s="2">
        <v>368</v>
      </c>
      <c r="B372" s="2">
        <v>0</v>
      </c>
      <c r="C372" s="2">
        <v>36</v>
      </c>
      <c r="D372" s="2">
        <f t="shared" si="64"/>
        <v>1296</v>
      </c>
      <c r="E372" s="2">
        <v>81.075100000000006</v>
      </c>
      <c r="F372" s="2">
        <v>176.631</v>
      </c>
      <c r="G372" s="2">
        <v>0.32694099999999998</v>
      </c>
      <c r="H372" s="2">
        <v>5</v>
      </c>
      <c r="I372" s="3">
        <f t="shared" si="55"/>
        <v>1.1882151461963255</v>
      </c>
      <c r="J372" s="3">
        <f t="shared" si="56"/>
        <v>1.2251816929304087</v>
      </c>
      <c r="K372" s="3">
        <f t="shared" si="57"/>
        <v>0.63489222222250297</v>
      </c>
      <c r="L372" s="3">
        <f t="shared" si="58"/>
        <v>-0.31549935406640767</v>
      </c>
      <c r="M372" s="3">
        <f t="shared" si="59"/>
        <v>-0.57164906055281361</v>
      </c>
      <c r="N372" s="3">
        <f t="shared" si="60"/>
        <v>0.90176998432814681</v>
      </c>
      <c r="O372" s="3">
        <f t="shared" si="61"/>
        <v>1.7641752073599679E-2</v>
      </c>
      <c r="P372" s="3">
        <f t="shared" si="62"/>
        <v>0.50441032363305405</v>
      </c>
      <c r="Q372" s="3">
        <f t="shared" si="63"/>
        <v>-0.70200696001927865</v>
      </c>
      <c r="R372" s="3">
        <f t="shared" si="65"/>
        <v>-0.50441032363305405</v>
      </c>
    </row>
    <row r="373" spans="1:18" x14ac:dyDescent="0.3">
      <c r="A373" s="2">
        <v>369</v>
      </c>
      <c r="B373" s="2">
        <v>0</v>
      </c>
      <c r="C373" s="2">
        <v>39</v>
      </c>
      <c r="D373" s="2">
        <f t="shared" si="64"/>
        <v>1521</v>
      </c>
      <c r="E373" s="2">
        <v>65.556299999999993</v>
      </c>
      <c r="F373" s="2">
        <v>184.14699999999999</v>
      </c>
      <c r="G373" s="2">
        <v>0.30574400000000002</v>
      </c>
      <c r="H373" s="2">
        <v>6</v>
      </c>
      <c r="I373" s="3">
        <f t="shared" si="55"/>
        <v>1.6470445243130687</v>
      </c>
      <c r="J373" s="3">
        <f t="shared" si="56"/>
        <v>1.829310705690224</v>
      </c>
      <c r="K373" s="3">
        <f t="shared" si="57"/>
        <v>-0.93383242064592742</v>
      </c>
      <c r="L373" s="3">
        <f t="shared" si="58"/>
        <v>0.44454319188864422</v>
      </c>
      <c r="M373" s="3">
        <f t="shared" si="59"/>
        <v>-0.6457166975558114</v>
      </c>
      <c r="N373" s="3">
        <f t="shared" si="60"/>
        <v>1.4896252544247224</v>
      </c>
      <c r="O373" s="3">
        <f t="shared" si="61"/>
        <v>-5.5028187031444548E-2</v>
      </c>
      <c r="P373" s="3">
        <f t="shared" si="62"/>
        <v>0.48624642366893778</v>
      </c>
      <c r="Q373" s="3">
        <f t="shared" si="63"/>
        <v>-0.666011551967577</v>
      </c>
      <c r="R373" s="3">
        <f t="shared" si="65"/>
        <v>-0.48624642366893778</v>
      </c>
    </row>
    <row r="374" spans="1:18" x14ac:dyDescent="0.3">
      <c r="A374" s="2">
        <v>370</v>
      </c>
      <c r="B374" s="2">
        <v>1</v>
      </c>
      <c r="C374" s="2">
        <v>39</v>
      </c>
      <c r="D374" s="2">
        <f t="shared" si="64"/>
        <v>1521</v>
      </c>
      <c r="E374" s="2">
        <v>78.232500000000002</v>
      </c>
      <c r="F374" s="2">
        <v>194.91919999999999</v>
      </c>
      <c r="G374" s="2">
        <v>0.40270400000000001</v>
      </c>
      <c r="H374" s="2">
        <v>6</v>
      </c>
      <c r="I374" s="3">
        <f t="shared" si="55"/>
        <v>1.6470445243130687</v>
      </c>
      <c r="J374" s="3">
        <f t="shared" si="56"/>
        <v>1.829310705690224</v>
      </c>
      <c r="K374" s="3">
        <f t="shared" si="57"/>
        <v>0.34754676575564958</v>
      </c>
      <c r="L374" s="3">
        <f t="shared" si="58"/>
        <v>1.5338633506881409</v>
      </c>
      <c r="M374" s="3">
        <f t="shared" si="59"/>
        <v>-0.30691412720101224</v>
      </c>
      <c r="N374" s="3">
        <f t="shared" si="60"/>
        <v>1.4896252544247224</v>
      </c>
      <c r="O374" s="3">
        <f t="shared" si="61"/>
        <v>3.9827118171804121E-2</v>
      </c>
      <c r="P374" s="3">
        <f t="shared" si="62"/>
        <v>0.50995546363191724</v>
      </c>
      <c r="Q374" s="3">
        <f t="shared" si="63"/>
        <v>-0.67343188328884818</v>
      </c>
      <c r="R374" s="3">
        <f t="shared" si="65"/>
        <v>0.49004453636808276</v>
      </c>
    </row>
    <row r="375" spans="1:18" x14ac:dyDescent="0.3">
      <c r="A375" s="2">
        <v>371</v>
      </c>
      <c r="B375" s="2">
        <v>0</v>
      </c>
      <c r="C375" s="2">
        <v>34</v>
      </c>
      <c r="D375" s="2">
        <f t="shared" si="64"/>
        <v>1156</v>
      </c>
      <c r="E375" s="2">
        <v>87.492000000000004</v>
      </c>
      <c r="F375" s="2">
        <v>191.65809999999999</v>
      </c>
      <c r="G375" s="2">
        <v>0.67250699999999997</v>
      </c>
      <c r="H375" s="2">
        <v>2</v>
      </c>
      <c r="I375" s="3">
        <f t="shared" si="55"/>
        <v>0.8823288941184968</v>
      </c>
      <c r="J375" s="3">
        <f t="shared" si="56"/>
        <v>0.84927919610207925</v>
      </c>
      <c r="K375" s="3">
        <f t="shared" si="57"/>
        <v>1.2835473476717916</v>
      </c>
      <c r="L375" s="3">
        <f t="shared" si="58"/>
        <v>1.2040902337889896</v>
      </c>
      <c r="M375" s="3">
        <f t="shared" si="59"/>
        <v>0.63584525697221239</v>
      </c>
      <c r="N375" s="3">
        <f t="shared" si="60"/>
        <v>-0.86179582596158</v>
      </c>
      <c r="O375" s="3">
        <f t="shared" si="61"/>
        <v>6.7551722311445128E-2</v>
      </c>
      <c r="P375" s="3">
        <f t="shared" si="62"/>
        <v>0.51688151154041539</v>
      </c>
      <c r="Q375" s="3">
        <f t="shared" si="63"/>
        <v>-0.72749333769332913</v>
      </c>
      <c r="R375" s="3">
        <f t="shared" si="65"/>
        <v>-0.51688151154041539</v>
      </c>
    </row>
    <row r="376" spans="1:18" x14ac:dyDescent="0.3">
      <c r="A376" s="2">
        <v>372</v>
      </c>
      <c r="B376" s="2">
        <v>0</v>
      </c>
      <c r="C376" s="2">
        <v>37</v>
      </c>
      <c r="D376" s="2">
        <f t="shared" si="64"/>
        <v>1369</v>
      </c>
      <c r="E376" s="2">
        <v>79.914000000000001</v>
      </c>
      <c r="F376" s="2">
        <v>177.9555</v>
      </c>
      <c r="G376" s="2">
        <v>0.68219200000000002</v>
      </c>
      <c r="H376" s="2">
        <v>5</v>
      </c>
      <c r="I376" s="3">
        <f t="shared" si="55"/>
        <v>1.34115827223524</v>
      </c>
      <c r="J376" s="3">
        <f t="shared" si="56"/>
        <v>1.4211879948480377</v>
      </c>
      <c r="K376" s="3">
        <f t="shared" si="57"/>
        <v>0.51752192407866837</v>
      </c>
      <c r="L376" s="3">
        <f t="shared" si="58"/>
        <v>-0.18156157438074141</v>
      </c>
      <c r="M376" s="3">
        <f t="shared" si="59"/>
        <v>0.66968707724744181</v>
      </c>
      <c r="N376" s="3">
        <f t="shared" si="60"/>
        <v>0.90176998432814681</v>
      </c>
      <c r="O376" s="3">
        <f t="shared" si="61"/>
        <v>-3.5962463891499097E-2</v>
      </c>
      <c r="P376" s="3">
        <f t="shared" si="62"/>
        <v>0.49101035286457007</v>
      </c>
      <c r="Q376" s="3">
        <f t="shared" si="63"/>
        <v>-0.67532760225451827</v>
      </c>
      <c r="R376" s="3">
        <f t="shared" si="65"/>
        <v>-0.49101035286457007</v>
      </c>
    </row>
    <row r="377" spans="1:18" x14ac:dyDescent="0.3">
      <c r="A377" s="2">
        <v>373</v>
      </c>
      <c r="B377" s="2">
        <v>0</v>
      </c>
      <c r="C377" s="2">
        <v>27</v>
      </c>
      <c r="D377" s="2">
        <f t="shared" si="64"/>
        <v>729</v>
      </c>
      <c r="E377" s="2">
        <v>64.692800000000005</v>
      </c>
      <c r="F377" s="2">
        <v>178.64750000000001</v>
      </c>
      <c r="G377" s="2">
        <v>0.31523899999999999</v>
      </c>
      <c r="H377" s="2">
        <v>6</v>
      </c>
      <c r="I377" s="3">
        <f t="shared" si="55"/>
        <v>-0.18827298815390386</v>
      </c>
      <c r="J377" s="3">
        <f t="shared" si="56"/>
        <v>-0.29722341922432566</v>
      </c>
      <c r="K377" s="3">
        <f t="shared" si="57"/>
        <v>-1.021119693445169</v>
      </c>
      <c r="L377" s="3">
        <f t="shared" si="58"/>
        <v>-0.1115842670628992</v>
      </c>
      <c r="M377" s="3">
        <f t="shared" si="59"/>
        <v>-0.6125387849576388</v>
      </c>
      <c r="N377" s="3">
        <f t="shared" si="60"/>
        <v>1.4896252544247224</v>
      </c>
      <c r="O377" s="3">
        <f t="shared" si="61"/>
        <v>-3.069755948844494E-2</v>
      </c>
      <c r="P377" s="3">
        <f t="shared" si="62"/>
        <v>0.49232621272825083</v>
      </c>
      <c r="Q377" s="3">
        <f t="shared" si="63"/>
        <v>-0.67791618871080594</v>
      </c>
      <c r="R377" s="3">
        <f t="shared" si="65"/>
        <v>-0.49232621272825083</v>
      </c>
    </row>
    <row r="378" spans="1:18" x14ac:dyDescent="0.3">
      <c r="A378" s="2">
        <v>374</v>
      </c>
      <c r="B378" s="2">
        <v>1</v>
      </c>
      <c r="C378" s="2">
        <v>23</v>
      </c>
      <c r="D378" s="2">
        <f t="shared" si="64"/>
        <v>529</v>
      </c>
      <c r="E378" s="2">
        <v>74.502300000000005</v>
      </c>
      <c r="F378" s="2">
        <v>190.03569999999999</v>
      </c>
      <c r="G378" s="2">
        <v>0.13321</v>
      </c>
      <c r="H378" s="2">
        <v>5</v>
      </c>
      <c r="I378" s="3">
        <f t="shared" si="55"/>
        <v>-0.80004549230956135</v>
      </c>
      <c r="J378" s="3">
        <f t="shared" si="56"/>
        <v>-0.83422698612193913</v>
      </c>
      <c r="K378" s="3">
        <f t="shared" si="57"/>
        <v>-2.9522122484923669E-2</v>
      </c>
      <c r="L378" s="3">
        <f t="shared" si="58"/>
        <v>1.0400278300426515</v>
      </c>
      <c r="M378" s="3">
        <f t="shared" si="59"/>
        <v>-1.2485937878362872</v>
      </c>
      <c r="N378" s="3">
        <f t="shared" si="60"/>
        <v>0.90176998432814681</v>
      </c>
      <c r="O378" s="3">
        <f t="shared" si="61"/>
        <v>0.17903551007024743</v>
      </c>
      <c r="P378" s="3">
        <f t="shared" si="62"/>
        <v>0.54463970214989399</v>
      </c>
      <c r="Q378" s="3">
        <f t="shared" si="63"/>
        <v>-0.60763079991252655</v>
      </c>
      <c r="R378" s="3">
        <f t="shared" si="65"/>
        <v>0.45536029785010601</v>
      </c>
    </row>
    <row r="379" spans="1:18" x14ac:dyDescent="0.3">
      <c r="A379" s="2">
        <v>375</v>
      </c>
      <c r="B379" s="2">
        <v>1</v>
      </c>
      <c r="C379" s="2">
        <v>32</v>
      </c>
      <c r="D379" s="2">
        <f t="shared" si="64"/>
        <v>1024</v>
      </c>
      <c r="E379" s="2">
        <v>78.749799999999993</v>
      </c>
      <c r="F379" s="2">
        <v>203.33240000000001</v>
      </c>
      <c r="G379" s="2">
        <v>0.63239599999999996</v>
      </c>
      <c r="H379" s="2">
        <v>4</v>
      </c>
      <c r="I379" s="3">
        <f t="shared" si="55"/>
        <v>0.57644264204066809</v>
      </c>
      <c r="J379" s="3">
        <f t="shared" si="56"/>
        <v>0.49485684194965435</v>
      </c>
      <c r="K379" s="3">
        <f t="shared" si="57"/>
        <v>0.39983826108749387</v>
      </c>
      <c r="L379" s="3">
        <f t="shared" si="58"/>
        <v>2.3846337002928593</v>
      </c>
      <c r="M379" s="3">
        <f t="shared" si="59"/>
        <v>0.49568735784369183</v>
      </c>
      <c r="N379" s="3">
        <f t="shared" si="60"/>
        <v>0.31391471423157125</v>
      </c>
      <c r="O379" s="3">
        <f t="shared" si="61"/>
        <v>3.3934183471312371E-2</v>
      </c>
      <c r="P379" s="3">
        <f t="shared" si="62"/>
        <v>0.50848273187427329</v>
      </c>
      <c r="Q379" s="3">
        <f t="shared" si="63"/>
        <v>-0.6763240230194556</v>
      </c>
      <c r="R379" s="3">
        <f t="shared" si="65"/>
        <v>0.49151726812572671</v>
      </c>
    </row>
    <row r="380" spans="1:18" x14ac:dyDescent="0.3">
      <c r="A380" s="2">
        <v>376</v>
      </c>
      <c r="B380" s="2">
        <v>0</v>
      </c>
      <c r="C380" s="2">
        <v>39</v>
      </c>
      <c r="D380" s="2">
        <f t="shared" si="64"/>
        <v>1521</v>
      </c>
      <c r="E380" s="2">
        <v>67.426000000000002</v>
      </c>
      <c r="F380" s="2">
        <v>181.9228</v>
      </c>
      <c r="G380" s="2">
        <v>0.128326</v>
      </c>
      <c r="H380" s="2">
        <v>2</v>
      </c>
      <c r="I380" s="3">
        <f t="shared" si="55"/>
        <v>1.6470445243130687</v>
      </c>
      <c r="J380" s="3">
        <f t="shared" si="56"/>
        <v>1.829310705690224</v>
      </c>
      <c r="K380" s="3">
        <f t="shared" si="57"/>
        <v>-0.74483298352636174</v>
      </c>
      <c r="L380" s="3">
        <f t="shared" si="58"/>
        <v>0.21962480036213736</v>
      </c>
      <c r="M380" s="3">
        <f t="shared" si="59"/>
        <v>-1.2656597093875745</v>
      </c>
      <c r="N380" s="3">
        <f t="shared" si="60"/>
        <v>-0.86179582596158</v>
      </c>
      <c r="O380" s="3">
        <f t="shared" si="61"/>
        <v>1.1286573925689816E-2</v>
      </c>
      <c r="P380" s="3">
        <f t="shared" si="62"/>
        <v>0.5028216135284711</v>
      </c>
      <c r="Q380" s="3">
        <f t="shared" si="63"/>
        <v>-0.6988063907821459</v>
      </c>
      <c r="R380" s="3">
        <f t="shared" si="65"/>
        <v>-0.5028216135284711</v>
      </c>
    </row>
    <row r="381" spans="1:18" x14ac:dyDescent="0.3">
      <c r="A381" s="2">
        <v>377</v>
      </c>
      <c r="B381" s="2">
        <v>0</v>
      </c>
      <c r="C381" s="2">
        <v>28</v>
      </c>
      <c r="D381" s="2">
        <f t="shared" si="64"/>
        <v>784</v>
      </c>
      <c r="E381" s="2">
        <v>61.417299999999997</v>
      </c>
      <c r="F381" s="2">
        <v>199.57060000000001</v>
      </c>
      <c r="G381" s="2">
        <v>0.57849300000000003</v>
      </c>
      <c r="H381" s="2">
        <v>6</v>
      </c>
      <c r="I381" s="3">
        <f t="shared" si="55"/>
        <v>-3.5329862114989473E-2</v>
      </c>
      <c r="J381" s="3">
        <f t="shared" si="56"/>
        <v>-0.14954743832748191</v>
      </c>
      <c r="K381" s="3">
        <f t="shared" si="57"/>
        <v>-1.3522250345614635</v>
      </c>
      <c r="L381" s="3">
        <f t="shared" si="58"/>
        <v>2.0042281588647444</v>
      </c>
      <c r="M381" s="3">
        <f t="shared" si="59"/>
        <v>0.3073367498627233</v>
      </c>
      <c r="N381" s="3">
        <f t="shared" si="60"/>
        <v>1.4896252544247224</v>
      </c>
      <c r="O381" s="3">
        <f t="shared" si="61"/>
        <v>-5.7844957980158665E-2</v>
      </c>
      <c r="P381" s="3">
        <f t="shared" si="62"/>
        <v>0.48554279147899487</v>
      </c>
      <c r="Q381" s="3">
        <f t="shared" si="63"/>
        <v>-0.66464289816595046</v>
      </c>
      <c r="R381" s="3">
        <f t="shared" si="65"/>
        <v>-0.48554279147899487</v>
      </c>
    </row>
    <row r="382" spans="1:18" x14ac:dyDescent="0.3">
      <c r="A382" s="2">
        <v>378</v>
      </c>
      <c r="B382" s="2">
        <v>0</v>
      </c>
      <c r="C382" s="2">
        <v>22</v>
      </c>
      <c r="D382" s="2">
        <f t="shared" si="64"/>
        <v>484</v>
      </c>
      <c r="E382" s="2">
        <v>71.838999999999999</v>
      </c>
      <c r="F382" s="2">
        <v>177.58590000000001</v>
      </c>
      <c r="G382" s="2">
        <v>0.69342199999999998</v>
      </c>
      <c r="H382" s="2">
        <v>4</v>
      </c>
      <c r="I382" s="3">
        <f t="shared" si="55"/>
        <v>-0.9529886183484757</v>
      </c>
      <c r="J382" s="3">
        <f t="shared" si="56"/>
        <v>-0.9550527886739022</v>
      </c>
      <c r="K382" s="3">
        <f t="shared" si="57"/>
        <v>-0.29874296052339944</v>
      </c>
      <c r="L382" s="3">
        <f t="shared" si="58"/>
        <v>-0.21893673736437377</v>
      </c>
      <c r="M382" s="3">
        <f t="shared" si="59"/>
        <v>0.70892751521242103</v>
      </c>
      <c r="N382" s="3">
        <f t="shared" si="60"/>
        <v>0.31391471423157125</v>
      </c>
      <c r="O382" s="3">
        <f t="shared" si="61"/>
        <v>8.3221100892103425E-2</v>
      </c>
      <c r="P382" s="3">
        <f t="shared" si="62"/>
        <v>0.52079327585268442</v>
      </c>
      <c r="Q382" s="3">
        <f t="shared" si="63"/>
        <v>-0.73562320025239303</v>
      </c>
      <c r="R382" s="3">
        <f t="shared" si="65"/>
        <v>-0.52079327585268442</v>
      </c>
    </row>
    <row r="383" spans="1:18" x14ac:dyDescent="0.3">
      <c r="A383" s="2">
        <v>379</v>
      </c>
      <c r="B383" s="2">
        <v>1</v>
      </c>
      <c r="C383" s="2">
        <v>18</v>
      </c>
      <c r="D383" s="2">
        <f t="shared" si="64"/>
        <v>324</v>
      </c>
      <c r="E383" s="2">
        <v>67.591700000000003</v>
      </c>
      <c r="F383" s="2">
        <v>189.5196</v>
      </c>
      <c r="G383" s="2">
        <v>0.70061099999999998</v>
      </c>
      <c r="H383" s="2">
        <v>1</v>
      </c>
      <c r="I383" s="3">
        <f t="shared" si="55"/>
        <v>-1.5647611225041334</v>
      </c>
      <c r="J383" s="3">
        <f t="shared" si="56"/>
        <v>-1.3846556421919931</v>
      </c>
      <c r="K383" s="3">
        <f t="shared" si="57"/>
        <v>-0.72808312700889266</v>
      </c>
      <c r="L383" s="3">
        <f t="shared" si="58"/>
        <v>0.98783810705603647</v>
      </c>
      <c r="M383" s="3">
        <f t="shared" si="59"/>
        <v>0.73404768516168517</v>
      </c>
      <c r="N383" s="3">
        <f t="shared" si="60"/>
        <v>-1.4496510960581555</v>
      </c>
      <c r="O383" s="3">
        <f t="shared" si="61"/>
        <v>0.23188341321486383</v>
      </c>
      <c r="P383" s="3">
        <f t="shared" si="62"/>
        <v>0.55771248512595073</v>
      </c>
      <c r="Q383" s="3">
        <f t="shared" si="63"/>
        <v>-0.58391170902359923</v>
      </c>
      <c r="R383" s="3">
        <f t="shared" si="65"/>
        <v>0.44228751487404927</v>
      </c>
    </row>
    <row r="384" spans="1:18" x14ac:dyDescent="0.3">
      <c r="A384" s="2">
        <v>380</v>
      </c>
      <c r="B384" s="2">
        <v>1</v>
      </c>
      <c r="C384" s="2">
        <v>25</v>
      </c>
      <c r="D384" s="2">
        <f t="shared" si="64"/>
        <v>625</v>
      </c>
      <c r="E384" s="2">
        <v>74.857100000000003</v>
      </c>
      <c r="F384" s="2">
        <v>191.01159999999999</v>
      </c>
      <c r="G384" s="2">
        <v>0.75347200000000003</v>
      </c>
      <c r="H384" s="2">
        <v>1</v>
      </c>
      <c r="I384" s="3">
        <f t="shared" si="55"/>
        <v>-0.49415924023173263</v>
      </c>
      <c r="J384" s="3">
        <f t="shared" si="56"/>
        <v>-0.57646527401108472</v>
      </c>
      <c r="K384" s="3">
        <f t="shared" si="57"/>
        <v>6.342989720254209E-3</v>
      </c>
      <c r="L384" s="3">
        <f t="shared" si="58"/>
        <v>1.1387140355505723</v>
      </c>
      <c r="M384" s="3">
        <f t="shared" si="59"/>
        <v>0.91875728367163823</v>
      </c>
      <c r="N384" s="3">
        <f t="shared" si="60"/>
        <v>-1.4496510960581555</v>
      </c>
      <c r="O384" s="3">
        <f t="shared" si="61"/>
        <v>7.869798630534211E-2</v>
      </c>
      <c r="P384" s="3">
        <f t="shared" si="62"/>
        <v>0.51966434856992483</v>
      </c>
      <c r="Q384" s="3">
        <f t="shared" si="63"/>
        <v>-0.65457215934021629</v>
      </c>
      <c r="R384" s="3">
        <f t="shared" si="65"/>
        <v>0.48033565143007517</v>
      </c>
    </row>
    <row r="385" spans="1:18" x14ac:dyDescent="0.3">
      <c r="A385" s="2">
        <v>381</v>
      </c>
      <c r="B385" s="2">
        <v>0</v>
      </c>
      <c r="C385" s="2">
        <v>38</v>
      </c>
      <c r="D385" s="2">
        <f t="shared" si="64"/>
        <v>1444</v>
      </c>
      <c r="E385" s="2">
        <v>59.085999999999999</v>
      </c>
      <c r="F385" s="2">
        <v>175.90039999999999</v>
      </c>
      <c r="G385" s="2">
        <v>0.87285900000000005</v>
      </c>
      <c r="H385" s="2">
        <v>2</v>
      </c>
      <c r="I385" s="3">
        <f t="shared" si="55"/>
        <v>1.4941013982741542</v>
      </c>
      <c r="J385" s="3">
        <f t="shared" si="56"/>
        <v>1.6225643324346428</v>
      </c>
      <c r="K385" s="3">
        <f t="shared" si="57"/>
        <v>-1.5878855083042249</v>
      </c>
      <c r="L385" s="3">
        <f t="shared" si="58"/>
        <v>-0.38938001985602566</v>
      </c>
      <c r="M385" s="3">
        <f t="shared" si="59"/>
        <v>1.3359254196756443</v>
      </c>
      <c r="N385" s="3">
        <f t="shared" si="60"/>
        <v>-0.86179582596158</v>
      </c>
      <c r="O385" s="3">
        <f t="shared" si="61"/>
        <v>-0.17666188724455362</v>
      </c>
      <c r="P385" s="3">
        <f t="shared" si="62"/>
        <v>0.4559490357361487</v>
      </c>
      <c r="Q385" s="3">
        <f t="shared" si="63"/>
        <v>-0.60871235220574493</v>
      </c>
      <c r="R385" s="3">
        <f t="shared" si="65"/>
        <v>-0.4559490357361487</v>
      </c>
    </row>
    <row r="386" spans="1:18" x14ac:dyDescent="0.3">
      <c r="A386" s="2">
        <v>382</v>
      </c>
      <c r="B386" s="2">
        <v>0</v>
      </c>
      <c r="C386" s="2">
        <v>29</v>
      </c>
      <c r="D386" s="2">
        <f t="shared" si="64"/>
        <v>841</v>
      </c>
      <c r="E386" s="2">
        <v>80.647000000000006</v>
      </c>
      <c r="F386" s="2">
        <v>172.5292</v>
      </c>
      <c r="G386" s="2">
        <v>0.49995899999999999</v>
      </c>
      <c r="H386" s="2">
        <v>6</v>
      </c>
      <c r="I386" s="3">
        <f t="shared" si="55"/>
        <v>0.1176132639239249</v>
      </c>
      <c r="J386" s="3">
        <f t="shared" si="56"/>
        <v>3.4985782383379449E-3</v>
      </c>
      <c r="K386" s="3">
        <f t="shared" si="57"/>
        <v>0.59161754765926511</v>
      </c>
      <c r="L386" s="3">
        <f t="shared" si="58"/>
        <v>-0.73028680949461866</v>
      </c>
      <c r="M386" s="3">
        <f t="shared" si="59"/>
        <v>3.2919247178690561E-2</v>
      </c>
      <c r="N386" s="3">
        <f t="shared" si="60"/>
        <v>1.4896252544247224</v>
      </c>
      <c r="O386" s="3">
        <f t="shared" si="61"/>
        <v>4.6109861609773435E-3</v>
      </c>
      <c r="P386" s="3">
        <f t="shared" si="62"/>
        <v>0.50115274449785141</v>
      </c>
      <c r="Q386" s="3">
        <f t="shared" si="63"/>
        <v>-0.69545533128725168</v>
      </c>
      <c r="R386" s="3">
        <f t="shared" si="65"/>
        <v>-0.50115274449785141</v>
      </c>
    </row>
    <row r="387" spans="1:18" x14ac:dyDescent="0.3">
      <c r="A387" s="2">
        <v>383</v>
      </c>
      <c r="B387" s="2">
        <v>0</v>
      </c>
      <c r="C387" s="2">
        <v>29</v>
      </c>
      <c r="D387" s="2">
        <f t="shared" si="64"/>
        <v>841</v>
      </c>
      <c r="E387" s="2">
        <v>68.653899999999993</v>
      </c>
      <c r="F387" s="2">
        <v>191.4539</v>
      </c>
      <c r="G387" s="2">
        <v>0.73024900000000004</v>
      </c>
      <c r="H387" s="2">
        <v>6</v>
      </c>
      <c r="I387" s="3">
        <f t="shared" si="55"/>
        <v>0.1176132639239249</v>
      </c>
      <c r="J387" s="3">
        <f t="shared" si="56"/>
        <v>3.4985782383379449E-3</v>
      </c>
      <c r="K387" s="3">
        <f t="shared" si="57"/>
        <v>-0.62071017834953557</v>
      </c>
      <c r="L387" s="3">
        <f t="shared" si="58"/>
        <v>1.1834408607336395</v>
      </c>
      <c r="M387" s="3">
        <f t="shared" si="59"/>
        <v>0.83761029428065747</v>
      </c>
      <c r="N387" s="3">
        <f t="shared" si="60"/>
        <v>1.4896252544247224</v>
      </c>
      <c r="O387" s="3">
        <f t="shared" si="61"/>
        <v>-6.4710289600700396E-2</v>
      </c>
      <c r="P387" s="3">
        <f t="shared" si="62"/>
        <v>0.48382807042992776</v>
      </c>
      <c r="Q387" s="3">
        <f t="shared" si="63"/>
        <v>-0.66131537215708924</v>
      </c>
      <c r="R387" s="3">
        <f t="shared" si="65"/>
        <v>-0.48382807042992776</v>
      </c>
    </row>
    <row r="388" spans="1:18" x14ac:dyDescent="0.3">
      <c r="A388" s="2">
        <v>384</v>
      </c>
      <c r="B388" s="2">
        <v>0</v>
      </c>
      <c r="C388" s="2">
        <v>22</v>
      </c>
      <c r="D388" s="2">
        <f t="shared" si="64"/>
        <v>484</v>
      </c>
      <c r="E388" s="2">
        <v>84.957499999999996</v>
      </c>
      <c r="F388" s="2">
        <v>174.68440000000001</v>
      </c>
      <c r="G388" s="2">
        <v>0.61917299999999997</v>
      </c>
      <c r="H388" s="2">
        <v>6</v>
      </c>
      <c r="I388" s="3">
        <f t="shared" si="55"/>
        <v>-0.9529886183484757</v>
      </c>
      <c r="J388" s="3">
        <f t="shared" si="56"/>
        <v>-0.9550527886739022</v>
      </c>
      <c r="K388" s="3">
        <f t="shared" si="57"/>
        <v>1.0273463136130985</v>
      </c>
      <c r="L388" s="3">
        <f t="shared" si="58"/>
        <v>-0.51234592404460055</v>
      </c>
      <c r="M388" s="3">
        <f t="shared" si="59"/>
        <v>0.4494828777714816</v>
      </c>
      <c r="N388" s="3">
        <f t="shared" si="60"/>
        <v>1.4896252544247224</v>
      </c>
      <c r="O388" s="3">
        <f t="shared" si="61"/>
        <v>0.15798897746552285</v>
      </c>
      <c r="P388" s="3">
        <f t="shared" si="62"/>
        <v>0.53941529294533086</v>
      </c>
      <c r="Q388" s="3">
        <f t="shared" si="63"/>
        <v>-0.77525849437283489</v>
      </c>
      <c r="R388" s="3">
        <f t="shared" si="65"/>
        <v>-0.53941529294533086</v>
      </c>
    </row>
    <row r="389" spans="1:18" x14ac:dyDescent="0.3">
      <c r="A389" s="2">
        <v>385</v>
      </c>
      <c r="B389" s="2">
        <v>1</v>
      </c>
      <c r="C389" s="2">
        <v>24</v>
      </c>
      <c r="D389" s="2">
        <f t="shared" si="64"/>
        <v>576</v>
      </c>
      <c r="E389" s="2">
        <v>72.230999999999995</v>
      </c>
      <c r="F389" s="2">
        <v>171.0565</v>
      </c>
      <c r="G389" s="2">
        <v>0.18664</v>
      </c>
      <c r="H389" s="2">
        <v>5</v>
      </c>
      <c r="I389" s="3">
        <f t="shared" ref="I389:I452" si="66">(C389-$V$3)/$W$3</f>
        <v>-0.64710236627064699</v>
      </c>
      <c r="J389" s="3">
        <f t="shared" ref="J389:J452" si="67" xml:space="preserve"> (D389- $V$8)/$W$8</f>
        <v>-0.70803114790099997</v>
      </c>
      <c r="K389" s="3">
        <f t="shared" ref="K389:K452" si="68">(E389-$V$4)/$W$4</f>
        <v>-0.2591174701501478</v>
      </c>
      <c r="L389" s="3">
        <f t="shared" ref="L389:L452" si="69">(F389-$V$5)/$W$5</f>
        <v>-0.87921105875326799</v>
      </c>
      <c r="M389" s="3">
        <f t="shared" ref="M389:M452" si="70">(G389-$V$6)/$W$6</f>
        <v>-1.0618959605460963</v>
      </c>
      <c r="N389" s="3">
        <f t="shared" ref="N389:N452" si="71">(H389-$V$7)/$W$7</f>
        <v>0.90176998432814681</v>
      </c>
      <c r="O389" s="3">
        <f t="shared" ref="O389:O452" si="72">$V$11+$V$12*I389+$V$17*J389+$V$13*K389+$V$14*L389+$V$15*M389+$V$16*N389</f>
        <v>8.7674753471086858E-2</v>
      </c>
      <c r="P389" s="3">
        <f t="shared" ref="P389:P452" si="73">1/(1+EXP(-O389))</f>
        <v>0.52190465865700297</v>
      </c>
      <c r="Q389" s="3">
        <f t="shared" ref="Q389:Q452" si="74">B389*LN(P389)+(1-B389)*LN(1-P389)</f>
        <v>-0.65027035403230826</v>
      </c>
      <c r="R389" s="3">
        <f t="shared" si="65"/>
        <v>0.47809534134299703</v>
      </c>
    </row>
    <row r="390" spans="1:18" x14ac:dyDescent="0.3">
      <c r="A390" s="2">
        <v>386</v>
      </c>
      <c r="B390" s="2">
        <v>0</v>
      </c>
      <c r="C390" s="2">
        <v>21</v>
      </c>
      <c r="D390" s="2">
        <f t="shared" ref="D390:D453" si="75">C390^2</f>
        <v>441</v>
      </c>
      <c r="E390" s="2">
        <v>74.746099999999998</v>
      </c>
      <c r="F390" s="2">
        <v>173.16040000000001</v>
      </c>
      <c r="G390" s="2">
        <v>2.5690000000000001E-2</v>
      </c>
      <c r="H390" s="2">
        <v>4</v>
      </c>
      <c r="I390" s="3">
        <f t="shared" si="66"/>
        <v>-1.1059317443873902</v>
      </c>
      <c r="J390" s="3">
        <f t="shared" si="67"/>
        <v>-1.0705085555568892</v>
      </c>
      <c r="K390" s="3">
        <f t="shared" si="68"/>
        <v>-4.8774935231925927E-3</v>
      </c>
      <c r="L390" s="3">
        <f t="shared" si="69"/>
        <v>-0.66645779738620525</v>
      </c>
      <c r="M390" s="3">
        <f t="shared" si="70"/>
        <v>-1.6242956480317079</v>
      </c>
      <c r="N390" s="3">
        <f t="shared" si="71"/>
        <v>0.31391471423157125</v>
      </c>
      <c r="O390" s="3">
        <f t="shared" si="72"/>
        <v>0.2194168787794997</v>
      </c>
      <c r="P390" s="3">
        <f t="shared" si="73"/>
        <v>0.55463520001478295</v>
      </c>
      <c r="Q390" s="3">
        <f t="shared" si="74"/>
        <v>-0.80886155740042098</v>
      </c>
      <c r="R390" s="3">
        <f t="shared" ref="R390:R453" si="76">B390-P390</f>
        <v>-0.55463520001478295</v>
      </c>
    </row>
    <row r="391" spans="1:18" x14ac:dyDescent="0.3">
      <c r="A391" s="2">
        <v>387</v>
      </c>
      <c r="B391" s="2">
        <v>1</v>
      </c>
      <c r="C391" s="2">
        <v>23</v>
      </c>
      <c r="D391" s="2">
        <f t="shared" si="75"/>
        <v>529</v>
      </c>
      <c r="E391" s="2">
        <v>73.2697</v>
      </c>
      <c r="F391" s="2">
        <v>174.6439</v>
      </c>
      <c r="G391" s="2">
        <v>0.28454099999999999</v>
      </c>
      <c r="H391" s="2">
        <v>6</v>
      </c>
      <c r="I391" s="3">
        <f t="shared" si="66"/>
        <v>-0.80004549230956135</v>
      </c>
      <c r="J391" s="3">
        <f t="shared" si="67"/>
        <v>-0.83422698612193913</v>
      </c>
      <c r="K391" s="3">
        <f t="shared" si="68"/>
        <v>-0.15412002920449178</v>
      </c>
      <c r="L391" s="3">
        <f t="shared" si="69"/>
        <v>-0.51644141674167166</v>
      </c>
      <c r="M391" s="3">
        <f t="shared" si="70"/>
        <v>-0.71980530006440069</v>
      </c>
      <c r="N391" s="3">
        <f t="shared" si="71"/>
        <v>1.4896252544247224</v>
      </c>
      <c r="O391" s="3">
        <f t="shared" si="72"/>
        <v>0.10411925039041847</v>
      </c>
      <c r="P391" s="3">
        <f t="shared" si="73"/>
        <v>0.52600632268985803</v>
      </c>
      <c r="Q391" s="3">
        <f t="shared" si="74"/>
        <v>-0.64244204599374666</v>
      </c>
      <c r="R391" s="3">
        <f t="shared" si="76"/>
        <v>0.47399367731014197</v>
      </c>
    </row>
    <row r="392" spans="1:18" x14ac:dyDescent="0.3">
      <c r="A392" s="2">
        <v>388</v>
      </c>
      <c r="B392" s="2">
        <v>0</v>
      </c>
      <c r="C392" s="2">
        <v>30</v>
      </c>
      <c r="D392" s="2">
        <f t="shared" si="75"/>
        <v>900</v>
      </c>
      <c r="E392" s="2">
        <v>68.118399999999994</v>
      </c>
      <c r="F392" s="2">
        <v>188.56620000000001</v>
      </c>
      <c r="G392" s="2">
        <v>0.44303399999999998</v>
      </c>
      <c r="H392" s="2">
        <v>4</v>
      </c>
      <c r="I392" s="3">
        <f t="shared" si="66"/>
        <v>0.27055638996283926</v>
      </c>
      <c r="J392" s="3">
        <f t="shared" si="67"/>
        <v>0.16191463047313392</v>
      </c>
      <c r="K392" s="3">
        <f t="shared" si="68"/>
        <v>-0.67484142859156737</v>
      </c>
      <c r="L392" s="3">
        <f t="shared" si="69"/>
        <v>0.89142717526871107</v>
      </c>
      <c r="M392" s="3">
        <f t="shared" si="70"/>
        <v>-0.16599098711841076</v>
      </c>
      <c r="N392" s="3">
        <f t="shared" si="71"/>
        <v>0.31391471423157125</v>
      </c>
      <c r="O392" s="3">
        <f t="shared" si="72"/>
        <v>-2.711476994622777E-2</v>
      </c>
      <c r="P392" s="3">
        <f t="shared" si="73"/>
        <v>0.49322172279687621</v>
      </c>
      <c r="Q392" s="3">
        <f t="shared" si="74"/>
        <v>-0.67968169411533852</v>
      </c>
      <c r="R392" s="3">
        <f t="shared" si="76"/>
        <v>-0.49322172279687621</v>
      </c>
    </row>
    <row r="393" spans="1:18" x14ac:dyDescent="0.3">
      <c r="A393" s="2">
        <v>389</v>
      </c>
      <c r="B393" s="2">
        <v>0</v>
      </c>
      <c r="C393" s="2">
        <v>37</v>
      </c>
      <c r="D393" s="2">
        <f t="shared" si="75"/>
        <v>1369</v>
      </c>
      <c r="E393" s="2">
        <v>99.722800000000007</v>
      </c>
      <c r="F393" s="2">
        <v>185.15039999999999</v>
      </c>
      <c r="G393" s="2">
        <v>0.61710600000000004</v>
      </c>
      <c r="H393" s="2">
        <v>2</v>
      </c>
      <c r="I393" s="3">
        <f t="shared" si="66"/>
        <v>1.34115827223524</v>
      </c>
      <c r="J393" s="3">
        <f t="shared" si="67"/>
        <v>1.4211879948480377</v>
      </c>
      <c r="K393" s="3">
        <f t="shared" si="68"/>
        <v>2.5199030814911065</v>
      </c>
      <c r="L393" s="3">
        <f t="shared" si="69"/>
        <v>0.5460102874995143</v>
      </c>
      <c r="M393" s="3">
        <f t="shared" si="70"/>
        <v>0.44226026109529198</v>
      </c>
      <c r="N393" s="3">
        <f t="shared" si="71"/>
        <v>-0.86179582596158</v>
      </c>
      <c r="O393" s="3">
        <f t="shared" si="72"/>
        <v>0.14643333324021329</v>
      </c>
      <c r="P393" s="3">
        <f t="shared" si="73"/>
        <v>0.53654305808428449</v>
      </c>
      <c r="Q393" s="3">
        <f t="shared" si="74"/>
        <v>-0.76904179599220757</v>
      </c>
      <c r="R393" s="3">
        <f t="shared" si="76"/>
        <v>-0.53654305808428449</v>
      </c>
    </row>
    <row r="394" spans="1:18" x14ac:dyDescent="0.3">
      <c r="A394" s="2">
        <v>390</v>
      </c>
      <c r="B394" s="2">
        <v>0</v>
      </c>
      <c r="C394" s="2">
        <v>32</v>
      </c>
      <c r="D394" s="2">
        <f t="shared" si="75"/>
        <v>1024</v>
      </c>
      <c r="E394" s="2">
        <v>70.041300000000007</v>
      </c>
      <c r="F394" s="2">
        <v>187.1566</v>
      </c>
      <c r="G394" s="2">
        <v>0.84995900000000002</v>
      </c>
      <c r="H394" s="2">
        <v>6</v>
      </c>
      <c r="I394" s="3">
        <f t="shared" si="66"/>
        <v>0.57644264204066809</v>
      </c>
      <c r="J394" s="3">
        <f t="shared" si="67"/>
        <v>0.49485684194965435</v>
      </c>
      <c r="K394" s="3">
        <f t="shared" si="68"/>
        <v>-0.48046424634991708</v>
      </c>
      <c r="L394" s="3">
        <f t="shared" si="69"/>
        <v>0.74888380475537264</v>
      </c>
      <c r="M394" s="3">
        <f t="shared" si="70"/>
        <v>1.2559070733356597</v>
      </c>
      <c r="N394" s="3">
        <f t="shared" si="71"/>
        <v>1.4896252544247224</v>
      </c>
      <c r="O394" s="3">
        <f t="shared" si="72"/>
        <v>-0.1103961545702444</v>
      </c>
      <c r="P394" s="3">
        <f t="shared" si="73"/>
        <v>0.47242895707748672</v>
      </c>
      <c r="Q394" s="3">
        <f t="shared" si="74"/>
        <v>-0.63947174417416242</v>
      </c>
      <c r="R394" s="3">
        <f t="shared" si="76"/>
        <v>-0.47242895707748672</v>
      </c>
    </row>
    <row r="395" spans="1:18" x14ac:dyDescent="0.3">
      <c r="A395" s="2">
        <v>391</v>
      </c>
      <c r="B395" s="2">
        <v>0</v>
      </c>
      <c r="C395" s="2">
        <v>20</v>
      </c>
      <c r="D395" s="2">
        <f t="shared" si="75"/>
        <v>400</v>
      </c>
      <c r="E395" s="2">
        <v>85.235200000000006</v>
      </c>
      <c r="F395" s="2">
        <v>184.21379999999999</v>
      </c>
      <c r="G395" s="2">
        <v>0.196246</v>
      </c>
      <c r="H395" s="2">
        <v>2</v>
      </c>
      <c r="I395" s="3">
        <f t="shared" si="66"/>
        <v>-1.2588748704263044</v>
      </c>
      <c r="J395" s="3">
        <f t="shared" si="67"/>
        <v>-1.1805942867708998</v>
      </c>
      <c r="K395" s="3">
        <f t="shared" si="68"/>
        <v>1.0554177388086405</v>
      </c>
      <c r="L395" s="3">
        <f t="shared" si="69"/>
        <v>0.45129822675689829</v>
      </c>
      <c r="M395" s="3">
        <f t="shared" si="70"/>
        <v>-1.0283301860944851</v>
      </c>
      <c r="N395" s="3">
        <f t="shared" si="71"/>
        <v>-0.86179582596158</v>
      </c>
      <c r="O395" s="3">
        <f t="shared" si="72"/>
        <v>0.33616812604162205</v>
      </c>
      <c r="P395" s="3">
        <f t="shared" si="73"/>
        <v>0.58325941569476891</v>
      </c>
      <c r="Q395" s="3">
        <f t="shared" si="74"/>
        <v>-0.87529135075527831</v>
      </c>
      <c r="R395" s="3">
        <f t="shared" si="76"/>
        <v>-0.58325941569476891</v>
      </c>
    </row>
    <row r="396" spans="1:18" x14ac:dyDescent="0.3">
      <c r="A396" s="2">
        <v>392</v>
      </c>
      <c r="B396" s="2">
        <v>0</v>
      </c>
      <c r="C396" s="2">
        <v>25</v>
      </c>
      <c r="D396" s="2">
        <f t="shared" si="75"/>
        <v>625</v>
      </c>
      <c r="E396" s="2">
        <v>64.063699999999997</v>
      </c>
      <c r="F396" s="2">
        <v>174.0616</v>
      </c>
      <c r="G396" s="2">
        <v>0.12554999999999999</v>
      </c>
      <c r="H396" s="2">
        <v>6</v>
      </c>
      <c r="I396" s="3">
        <f t="shared" si="66"/>
        <v>-0.49415924023173263</v>
      </c>
      <c r="J396" s="3">
        <f t="shared" si="67"/>
        <v>-0.57646527401108472</v>
      </c>
      <c r="K396" s="3">
        <f t="shared" si="68"/>
        <v>-1.0847125403681619</v>
      </c>
      <c r="L396" s="3">
        <f t="shared" si="69"/>
        <v>-0.57532550063065913</v>
      </c>
      <c r="M396" s="3">
        <f t="shared" si="70"/>
        <v>-1.2753597499744653</v>
      </c>
      <c r="N396" s="3">
        <f t="shared" si="71"/>
        <v>1.4896252544247224</v>
      </c>
      <c r="O396" s="3">
        <f t="shared" si="72"/>
        <v>1.9704821431586989E-2</v>
      </c>
      <c r="P396" s="3">
        <f t="shared" si="73"/>
        <v>0.50492604596850588</v>
      </c>
      <c r="Q396" s="3">
        <f t="shared" si="74"/>
        <v>-0.70304812548900009</v>
      </c>
      <c r="R396" s="3">
        <f t="shared" si="76"/>
        <v>-0.50492604596850588</v>
      </c>
    </row>
    <row r="397" spans="1:18" x14ac:dyDescent="0.3">
      <c r="A397" s="2">
        <v>393</v>
      </c>
      <c r="B397" s="2">
        <v>1</v>
      </c>
      <c r="C397" s="2">
        <v>37</v>
      </c>
      <c r="D397" s="2">
        <f t="shared" si="75"/>
        <v>1369</v>
      </c>
      <c r="E397" s="2">
        <v>78.721299999999999</v>
      </c>
      <c r="F397" s="2">
        <v>186.971</v>
      </c>
      <c r="G397" s="2">
        <v>0.96348</v>
      </c>
      <c r="H397" s="2">
        <v>1</v>
      </c>
      <c r="I397" s="3">
        <f t="shared" si="66"/>
        <v>1.34115827223524</v>
      </c>
      <c r="J397" s="3">
        <f t="shared" si="67"/>
        <v>1.4211879948480377</v>
      </c>
      <c r="K397" s="3">
        <f t="shared" si="68"/>
        <v>0.39695732620066371</v>
      </c>
      <c r="L397" s="3">
        <f t="shared" si="69"/>
        <v>0.73011532464238005</v>
      </c>
      <c r="M397" s="3">
        <f t="shared" si="70"/>
        <v>1.6525779333732746</v>
      </c>
      <c r="N397" s="3">
        <f t="shared" si="71"/>
        <v>-1.4496510960581555</v>
      </c>
      <c r="O397" s="3">
        <f t="shared" si="72"/>
        <v>-3.1719010639200171E-2</v>
      </c>
      <c r="P397" s="3">
        <f t="shared" si="73"/>
        <v>0.49207091211411286</v>
      </c>
      <c r="Q397" s="3">
        <f t="shared" si="74"/>
        <v>-0.70913244256236707</v>
      </c>
      <c r="R397" s="3">
        <f t="shared" si="76"/>
        <v>0.50792908788588709</v>
      </c>
    </row>
    <row r="398" spans="1:18" x14ac:dyDescent="0.3">
      <c r="A398" s="2">
        <v>394</v>
      </c>
      <c r="B398" s="2">
        <v>0</v>
      </c>
      <c r="C398" s="2">
        <v>33</v>
      </c>
      <c r="D398" s="2">
        <f t="shared" si="75"/>
        <v>1089</v>
      </c>
      <c r="E398" s="2">
        <v>79.788700000000006</v>
      </c>
      <c r="F398" s="2">
        <v>191.8245</v>
      </c>
      <c r="G398" s="2">
        <v>0.108045</v>
      </c>
      <c r="H398" s="2">
        <v>3</v>
      </c>
      <c r="I398" s="3">
        <f t="shared" si="66"/>
        <v>0.72938576807958244</v>
      </c>
      <c r="J398" s="3">
        <f t="shared" si="67"/>
        <v>0.66938300119137872</v>
      </c>
      <c r="K398" s="3">
        <f t="shared" si="68"/>
        <v>0.50485591912007566</v>
      </c>
      <c r="L398" s="3">
        <f t="shared" si="69"/>
        <v>1.2209171469937432</v>
      </c>
      <c r="M398" s="3">
        <f t="shared" si="70"/>
        <v>-1.336526612536973</v>
      </c>
      <c r="N398" s="3">
        <f t="shared" si="71"/>
        <v>-0.27394055586500432</v>
      </c>
      <c r="O398" s="3">
        <f t="shared" si="72"/>
        <v>9.5154292617629949E-2</v>
      </c>
      <c r="P398" s="3">
        <f t="shared" si="73"/>
        <v>0.52377064024002962</v>
      </c>
      <c r="Q398" s="3">
        <f t="shared" si="74"/>
        <v>-0.74185569256706807</v>
      </c>
      <c r="R398" s="3">
        <f t="shared" si="76"/>
        <v>-0.52377064024002962</v>
      </c>
    </row>
    <row r="399" spans="1:18" x14ac:dyDescent="0.3">
      <c r="A399" s="2">
        <v>395</v>
      </c>
      <c r="B399" s="2">
        <v>0</v>
      </c>
      <c r="C399" s="2">
        <v>30</v>
      </c>
      <c r="D399" s="2">
        <f t="shared" si="75"/>
        <v>900</v>
      </c>
      <c r="E399" s="2">
        <v>74.758200000000002</v>
      </c>
      <c r="F399" s="2">
        <v>185.845</v>
      </c>
      <c r="G399" s="2">
        <v>0.478491</v>
      </c>
      <c r="H399" s="2">
        <v>2</v>
      </c>
      <c r="I399" s="3">
        <f t="shared" si="66"/>
        <v>0.27055638996283926</v>
      </c>
      <c r="J399" s="3">
        <f t="shared" si="67"/>
        <v>0.16191463047313392</v>
      </c>
      <c r="K399" s="3">
        <f t="shared" si="68"/>
        <v>-3.6543597642219303E-3</v>
      </c>
      <c r="L399" s="3">
        <f t="shared" si="69"/>
        <v>0.6162505153361808</v>
      </c>
      <c r="M399" s="3">
        <f t="shared" si="70"/>
        <v>-4.2095331826845987E-2</v>
      </c>
      <c r="N399" s="3">
        <f t="shared" si="71"/>
        <v>-0.86179582596158</v>
      </c>
      <c r="O399" s="3">
        <f t="shared" si="72"/>
        <v>2.1638479126305805E-2</v>
      </c>
      <c r="P399" s="3">
        <f t="shared" si="73"/>
        <v>0.50540940871540763</v>
      </c>
      <c r="Q399" s="3">
        <f t="shared" si="74"/>
        <v>-0.70402494695365503</v>
      </c>
      <c r="R399" s="3">
        <f t="shared" si="76"/>
        <v>-0.50540940871540763</v>
      </c>
    </row>
    <row r="400" spans="1:18" x14ac:dyDescent="0.3">
      <c r="A400" s="2">
        <v>396</v>
      </c>
      <c r="B400" s="2">
        <v>0</v>
      </c>
      <c r="C400" s="2">
        <v>35</v>
      </c>
      <c r="D400" s="2">
        <f t="shared" si="75"/>
        <v>1225</v>
      </c>
      <c r="E400" s="2">
        <v>69.290000000000006</v>
      </c>
      <c r="F400" s="2">
        <v>184.4966</v>
      </c>
      <c r="G400" s="2">
        <v>0.58556399999999997</v>
      </c>
      <c r="H400" s="2">
        <v>6</v>
      </c>
      <c r="I400" s="3">
        <f t="shared" si="66"/>
        <v>1.0352720201574113</v>
      </c>
      <c r="J400" s="3">
        <f t="shared" si="67"/>
        <v>1.034545426681756</v>
      </c>
      <c r="K400" s="3">
        <f t="shared" si="68"/>
        <v>-0.55640973338416277</v>
      </c>
      <c r="L400" s="3">
        <f t="shared" si="69"/>
        <v>0.47989588934286104</v>
      </c>
      <c r="M400" s="3">
        <f t="shared" si="70"/>
        <v>0.3320445982020257</v>
      </c>
      <c r="N400" s="3">
        <f t="shared" si="71"/>
        <v>1.4896252544247224</v>
      </c>
      <c r="O400" s="3">
        <f t="shared" si="72"/>
        <v>-9.0245193161040974E-2</v>
      </c>
      <c r="P400" s="3">
        <f t="shared" si="73"/>
        <v>0.47745400121716169</v>
      </c>
      <c r="Q400" s="3">
        <f t="shared" si="74"/>
        <v>-0.64904226307009183</v>
      </c>
      <c r="R400" s="3">
        <f t="shared" si="76"/>
        <v>-0.47745400121716169</v>
      </c>
    </row>
    <row r="401" spans="1:18" x14ac:dyDescent="0.3">
      <c r="A401" s="2">
        <v>397</v>
      </c>
      <c r="B401" s="2">
        <v>1</v>
      </c>
      <c r="C401" s="2">
        <v>27</v>
      </c>
      <c r="D401" s="2">
        <f t="shared" si="75"/>
        <v>729</v>
      </c>
      <c r="E401" s="2">
        <v>72.366799999999998</v>
      </c>
      <c r="F401" s="2">
        <v>172.3295</v>
      </c>
      <c r="G401" s="2">
        <v>0.54137400000000002</v>
      </c>
      <c r="H401" s="2">
        <v>3</v>
      </c>
      <c r="I401" s="3">
        <f t="shared" si="66"/>
        <v>-0.18827298815390386</v>
      </c>
      <c r="J401" s="3">
        <f t="shared" si="67"/>
        <v>-0.29722341922432566</v>
      </c>
      <c r="K401" s="3">
        <f t="shared" si="68"/>
        <v>-0.24539006812798511</v>
      </c>
      <c r="L401" s="3">
        <f t="shared" si="69"/>
        <v>-0.75048112780585186</v>
      </c>
      <c r="M401" s="3">
        <f t="shared" si="70"/>
        <v>0.17763364952237887</v>
      </c>
      <c r="N401" s="3">
        <f t="shared" si="71"/>
        <v>-0.27394055586500432</v>
      </c>
      <c r="O401" s="3">
        <f t="shared" si="72"/>
        <v>-3.6407910445763096E-3</v>
      </c>
      <c r="P401" s="3">
        <f t="shared" si="73"/>
        <v>0.49908980324427105</v>
      </c>
      <c r="Q401" s="3">
        <f t="shared" si="74"/>
        <v>-0.69496923300124724</v>
      </c>
      <c r="R401" s="3">
        <f t="shared" si="76"/>
        <v>0.50091019675572901</v>
      </c>
    </row>
    <row r="402" spans="1:18" x14ac:dyDescent="0.3">
      <c r="A402" s="2">
        <v>398</v>
      </c>
      <c r="B402" s="2">
        <v>1</v>
      </c>
      <c r="C402" s="2">
        <v>36</v>
      </c>
      <c r="D402" s="2">
        <f t="shared" si="75"/>
        <v>1296</v>
      </c>
      <c r="E402" s="2">
        <v>70.967100000000002</v>
      </c>
      <c r="F402" s="2">
        <v>182.1182</v>
      </c>
      <c r="G402" s="2">
        <v>8.6031999999999997E-2</v>
      </c>
      <c r="H402" s="2">
        <v>2</v>
      </c>
      <c r="I402" s="3">
        <f t="shared" si="66"/>
        <v>1.1882151461963255</v>
      </c>
      <c r="J402" s="3">
        <f t="shared" si="67"/>
        <v>1.2251816929304087</v>
      </c>
      <c r="K402" s="3">
        <f t="shared" si="68"/>
        <v>-0.38687935097349724</v>
      </c>
      <c r="L402" s="3">
        <f t="shared" si="69"/>
        <v>0.23938428858454583</v>
      </c>
      <c r="M402" s="3">
        <f t="shared" si="70"/>
        <v>-1.4134455583003827</v>
      </c>
      <c r="N402" s="3">
        <f t="shared" si="71"/>
        <v>-0.86179582596158</v>
      </c>
      <c r="O402" s="3">
        <f t="shared" si="72"/>
        <v>2.3885847906043596E-2</v>
      </c>
      <c r="P402" s="3">
        <f t="shared" si="73"/>
        <v>0.50597117808266834</v>
      </c>
      <c r="Q402" s="3">
        <f t="shared" si="74"/>
        <v>-0.68127557162790375</v>
      </c>
      <c r="R402" s="3">
        <f t="shared" si="76"/>
        <v>0.49402882191733166</v>
      </c>
    </row>
    <row r="403" spans="1:18" x14ac:dyDescent="0.3">
      <c r="A403" s="2">
        <v>399</v>
      </c>
      <c r="B403" s="2">
        <v>1</v>
      </c>
      <c r="C403" s="2">
        <v>34</v>
      </c>
      <c r="D403" s="2">
        <f t="shared" si="75"/>
        <v>1156</v>
      </c>
      <c r="E403" s="2">
        <v>99.020300000000006</v>
      </c>
      <c r="F403" s="2">
        <v>171.79759999999999</v>
      </c>
      <c r="G403" s="2">
        <v>5.7027000000000001E-2</v>
      </c>
      <c r="H403" s="2">
        <v>5</v>
      </c>
      <c r="I403" s="3">
        <f t="shared" si="66"/>
        <v>0.8823288941184968</v>
      </c>
      <c r="J403" s="3">
        <f t="shared" si="67"/>
        <v>0.84927919610207925</v>
      </c>
      <c r="K403" s="3">
        <f t="shared" si="68"/>
        <v>2.4488905636665921</v>
      </c>
      <c r="L403" s="3">
        <f t="shared" si="69"/>
        <v>-0.80426859856070798</v>
      </c>
      <c r="M403" s="3">
        <f t="shared" si="70"/>
        <v>-1.5147963065794767</v>
      </c>
      <c r="N403" s="3">
        <f t="shared" si="71"/>
        <v>0.90176998432814681</v>
      </c>
      <c r="O403" s="3">
        <f t="shared" si="72"/>
        <v>0.16421070015140304</v>
      </c>
      <c r="P403" s="3">
        <f t="shared" si="73"/>
        <v>0.54096067380377411</v>
      </c>
      <c r="Q403" s="3">
        <f t="shared" si="74"/>
        <v>-0.61440869445291746</v>
      </c>
      <c r="R403" s="3">
        <f t="shared" si="76"/>
        <v>0.45903932619622589</v>
      </c>
    </row>
    <row r="404" spans="1:18" x14ac:dyDescent="0.3">
      <c r="A404" s="2">
        <v>400</v>
      </c>
      <c r="B404" s="2">
        <v>1</v>
      </c>
      <c r="C404" s="2">
        <v>36</v>
      </c>
      <c r="D404" s="2">
        <f t="shared" si="75"/>
        <v>1296</v>
      </c>
      <c r="E404" s="2">
        <v>74.774000000000001</v>
      </c>
      <c r="F404" s="2">
        <v>179.75970000000001</v>
      </c>
      <c r="G404" s="2">
        <v>0.10548299999999999</v>
      </c>
      <c r="H404" s="2">
        <v>6</v>
      </c>
      <c r="I404" s="3">
        <f t="shared" si="66"/>
        <v>1.1882151461963255</v>
      </c>
      <c r="J404" s="3">
        <f t="shared" si="67"/>
        <v>1.2251816929304087</v>
      </c>
      <c r="K404" s="3">
        <f t="shared" si="68"/>
        <v>-2.0572098971369016E-3</v>
      </c>
      <c r="L404" s="3">
        <f t="shared" si="69"/>
        <v>8.8504102800165258E-4</v>
      </c>
      <c r="M404" s="3">
        <f t="shared" si="70"/>
        <v>-1.3454788834244422</v>
      </c>
      <c r="N404" s="3">
        <f t="shared" si="71"/>
        <v>1.4896252544247224</v>
      </c>
      <c r="O404" s="3">
        <f t="shared" si="72"/>
        <v>7.9081195533788548E-3</v>
      </c>
      <c r="P404" s="3">
        <f t="shared" si="73"/>
        <v>0.50197701958505936</v>
      </c>
      <c r="Q404" s="3">
        <f t="shared" si="74"/>
        <v>-0.68920093805724492</v>
      </c>
      <c r="R404" s="3">
        <f t="shared" si="76"/>
        <v>0.49802298041494064</v>
      </c>
    </row>
    <row r="405" spans="1:18" x14ac:dyDescent="0.3">
      <c r="A405" s="2">
        <v>401</v>
      </c>
      <c r="B405" s="2">
        <v>0</v>
      </c>
      <c r="C405" s="2">
        <v>22</v>
      </c>
      <c r="D405" s="2">
        <f t="shared" si="75"/>
        <v>484</v>
      </c>
      <c r="E405" s="2">
        <v>80.248900000000006</v>
      </c>
      <c r="F405" s="2">
        <v>163.59729999999999</v>
      </c>
      <c r="G405" s="2">
        <v>0.585588</v>
      </c>
      <c r="H405" s="2">
        <v>5</v>
      </c>
      <c r="I405" s="3">
        <f t="shared" si="66"/>
        <v>-0.9529886183484757</v>
      </c>
      <c r="J405" s="3">
        <f t="shared" si="67"/>
        <v>-0.9550527886739022</v>
      </c>
      <c r="K405" s="3">
        <f t="shared" si="68"/>
        <v>0.55137543613479667</v>
      </c>
      <c r="L405" s="3">
        <f t="shared" si="69"/>
        <v>-1.6335098026047763</v>
      </c>
      <c r="M405" s="3">
        <f t="shared" si="70"/>
        <v>0.33212846022439085</v>
      </c>
      <c r="N405" s="3">
        <f t="shared" si="71"/>
        <v>0.90176998432814681</v>
      </c>
      <c r="O405" s="3">
        <f t="shared" si="72"/>
        <v>0.11398298595983711</v>
      </c>
      <c r="P405" s="3">
        <f t="shared" si="73"/>
        <v>0.52846493483780344</v>
      </c>
      <c r="Q405" s="3">
        <f t="shared" si="74"/>
        <v>-0.75176181029489408</v>
      </c>
      <c r="R405" s="3">
        <f t="shared" si="76"/>
        <v>-0.52846493483780344</v>
      </c>
    </row>
    <row r="406" spans="1:18" x14ac:dyDescent="0.3">
      <c r="A406" s="2">
        <v>402</v>
      </c>
      <c r="B406" s="2">
        <v>0</v>
      </c>
      <c r="C406" s="2">
        <v>38</v>
      </c>
      <c r="D406" s="2">
        <f t="shared" si="75"/>
        <v>1444</v>
      </c>
      <c r="E406" s="2">
        <v>92.816299999999998</v>
      </c>
      <c r="F406" s="2">
        <v>163.67439999999999</v>
      </c>
      <c r="G406" s="2">
        <v>0.54434499999999997</v>
      </c>
      <c r="H406" s="2">
        <v>1</v>
      </c>
      <c r="I406" s="3">
        <f t="shared" si="66"/>
        <v>1.4941013982741542</v>
      </c>
      <c r="J406" s="3">
        <f t="shared" si="67"/>
        <v>1.6225643324346428</v>
      </c>
      <c r="K406" s="3">
        <f t="shared" si="68"/>
        <v>1.8217565272491021</v>
      </c>
      <c r="L406" s="3">
        <f t="shared" si="69"/>
        <v>-1.6257131979888721</v>
      </c>
      <c r="M406" s="3">
        <f t="shared" si="70"/>
        <v>0.18801506904098542</v>
      </c>
      <c r="N406" s="3">
        <f t="shared" si="71"/>
        <v>-1.4496510960581555</v>
      </c>
      <c r="O406" s="3">
        <f t="shared" si="72"/>
        <v>7.5198200573833127E-2</v>
      </c>
      <c r="P406" s="3">
        <f t="shared" si="73"/>
        <v>0.51879069622341945</v>
      </c>
      <c r="Q406" s="3">
        <f t="shared" si="74"/>
        <v>-0.73145296053697562</v>
      </c>
      <c r="R406" s="3">
        <f t="shared" si="76"/>
        <v>-0.51879069622341945</v>
      </c>
    </row>
    <row r="407" spans="1:18" x14ac:dyDescent="0.3">
      <c r="A407" s="2">
        <v>403</v>
      </c>
      <c r="B407" s="2">
        <v>0</v>
      </c>
      <c r="C407" s="2">
        <v>26</v>
      </c>
      <c r="D407" s="2">
        <f t="shared" si="75"/>
        <v>676</v>
      </c>
      <c r="E407" s="2">
        <v>66.236800000000002</v>
      </c>
      <c r="F407" s="2">
        <v>178.08949999999999</v>
      </c>
      <c r="G407" s="2">
        <v>0.233741</v>
      </c>
      <c r="H407" s="2">
        <v>6</v>
      </c>
      <c r="I407" s="3">
        <f t="shared" si="66"/>
        <v>-0.34121611419281822</v>
      </c>
      <c r="J407" s="3">
        <f t="shared" si="67"/>
        <v>-0.43952936445219321</v>
      </c>
      <c r="K407" s="3">
        <f t="shared" si="68"/>
        <v>-0.86504378238317647</v>
      </c>
      <c r="L407" s="3">
        <f t="shared" si="69"/>
        <v>-0.16801105533364633</v>
      </c>
      <c r="M407" s="3">
        <f t="shared" si="70"/>
        <v>-0.89731324740375484</v>
      </c>
      <c r="N407" s="3">
        <f t="shared" si="71"/>
        <v>1.4896252544247224</v>
      </c>
      <c r="O407" s="3">
        <f t="shared" si="72"/>
        <v>7.8420198150430283E-3</v>
      </c>
      <c r="P407" s="3">
        <f t="shared" si="73"/>
        <v>0.50196049490667993</v>
      </c>
      <c r="Q407" s="3">
        <f t="shared" si="74"/>
        <v>-0.69707587760711698</v>
      </c>
      <c r="R407" s="3">
        <f t="shared" si="76"/>
        <v>-0.50196049490667993</v>
      </c>
    </row>
    <row r="408" spans="1:18" x14ac:dyDescent="0.3">
      <c r="A408" s="2">
        <v>404</v>
      </c>
      <c r="B408" s="2">
        <v>1</v>
      </c>
      <c r="C408" s="2">
        <v>29</v>
      </c>
      <c r="D408" s="2">
        <f t="shared" si="75"/>
        <v>841</v>
      </c>
      <c r="E408" s="2">
        <v>75.376599999999996</v>
      </c>
      <c r="F408" s="2">
        <v>174.51560000000001</v>
      </c>
      <c r="G408" s="2">
        <v>0.63777399999999995</v>
      </c>
      <c r="H408" s="2">
        <v>1</v>
      </c>
      <c r="I408" s="3">
        <f t="shared" si="66"/>
        <v>0.1176132639239249</v>
      </c>
      <c r="J408" s="3">
        <f t="shared" si="67"/>
        <v>3.4985782383379449E-3</v>
      </c>
      <c r="K408" s="3">
        <f t="shared" si="68"/>
        <v>5.8856873008275121E-2</v>
      </c>
      <c r="L408" s="3">
        <f t="shared" si="69"/>
        <v>-0.5294155331128837</v>
      </c>
      <c r="M408" s="3">
        <f t="shared" si="70"/>
        <v>0.51447943935532658</v>
      </c>
      <c r="N408" s="3">
        <f t="shared" si="71"/>
        <v>-1.4496510960581555</v>
      </c>
      <c r="O408" s="3">
        <f t="shared" si="72"/>
        <v>-5.1398901381086992E-3</v>
      </c>
      <c r="P408" s="3">
        <f t="shared" si="73"/>
        <v>0.4987150302943828</v>
      </c>
      <c r="Q408" s="3">
        <f t="shared" si="74"/>
        <v>-0.69572042793419353</v>
      </c>
      <c r="R408" s="3">
        <f t="shared" si="76"/>
        <v>0.5012849697056172</v>
      </c>
    </row>
    <row r="409" spans="1:18" x14ac:dyDescent="0.3">
      <c r="A409" s="2">
        <v>405</v>
      </c>
      <c r="B409" s="2">
        <v>0</v>
      </c>
      <c r="C409" s="2">
        <v>38</v>
      </c>
      <c r="D409" s="2">
        <f t="shared" si="75"/>
        <v>1444</v>
      </c>
      <c r="E409" s="2">
        <v>72.308099999999996</v>
      </c>
      <c r="F409" s="2">
        <v>181.06790000000001</v>
      </c>
      <c r="G409" s="2">
        <v>0.82006800000000002</v>
      </c>
      <c r="H409" s="2">
        <v>3</v>
      </c>
      <c r="I409" s="3">
        <f t="shared" si="66"/>
        <v>1.4941013982741542</v>
      </c>
      <c r="J409" s="3">
        <f t="shared" si="67"/>
        <v>1.6225643324346428</v>
      </c>
      <c r="K409" s="3">
        <f t="shared" si="68"/>
        <v>-0.25132378314051057</v>
      </c>
      <c r="L409" s="3">
        <f t="shared" si="69"/>
        <v>0.13317451130719266</v>
      </c>
      <c r="M409" s="3">
        <f t="shared" si="70"/>
        <v>1.1514604187309225</v>
      </c>
      <c r="N409" s="3">
        <f t="shared" si="71"/>
        <v>-0.27394055586500432</v>
      </c>
      <c r="O409" s="3">
        <f t="shared" si="72"/>
        <v>-7.7283919861695471E-2</v>
      </c>
      <c r="P409" s="3">
        <f t="shared" si="73"/>
        <v>0.48068863099681253</v>
      </c>
      <c r="Q409" s="3">
        <f t="shared" si="74"/>
        <v>-0.65525163543257858</v>
      </c>
      <c r="R409" s="3">
        <f t="shared" si="76"/>
        <v>-0.48068863099681253</v>
      </c>
    </row>
    <row r="410" spans="1:18" x14ac:dyDescent="0.3">
      <c r="A410" s="2">
        <v>406</v>
      </c>
      <c r="B410" s="2">
        <v>0</v>
      </c>
      <c r="C410" s="2">
        <v>18</v>
      </c>
      <c r="D410" s="2">
        <f t="shared" si="75"/>
        <v>324</v>
      </c>
      <c r="E410" s="2">
        <v>74.138599999999997</v>
      </c>
      <c r="F410" s="2">
        <v>178.6523</v>
      </c>
      <c r="G410" s="2">
        <v>4.1578999999999998E-2</v>
      </c>
      <c r="H410" s="2">
        <v>2</v>
      </c>
      <c r="I410" s="3">
        <f t="shared" si="66"/>
        <v>-1.5647611225041334</v>
      </c>
      <c r="J410" s="3">
        <f t="shared" si="67"/>
        <v>-1.3846556421919931</v>
      </c>
      <c r="K410" s="3">
        <f t="shared" si="68"/>
        <v>-6.62868950582709E-2</v>
      </c>
      <c r="L410" s="3">
        <f t="shared" si="69"/>
        <v>-0.11109887533584015</v>
      </c>
      <c r="M410" s="3">
        <f t="shared" si="70"/>
        <v>-1.5687754949751134</v>
      </c>
      <c r="N410" s="3">
        <f t="shared" si="71"/>
        <v>-0.86179582596158</v>
      </c>
      <c r="O410" s="3">
        <f t="shared" si="72"/>
        <v>0.33947201696157203</v>
      </c>
      <c r="P410" s="3">
        <f t="shared" si="73"/>
        <v>0.58406226384460147</v>
      </c>
      <c r="Q410" s="3">
        <f t="shared" si="74"/>
        <v>-0.87721970262631954</v>
      </c>
      <c r="R410" s="3">
        <f t="shared" si="76"/>
        <v>-0.58406226384460147</v>
      </c>
    </row>
    <row r="411" spans="1:18" x14ac:dyDescent="0.3">
      <c r="A411" s="2">
        <v>407</v>
      </c>
      <c r="B411" s="2">
        <v>1</v>
      </c>
      <c r="C411" s="2">
        <v>18</v>
      </c>
      <c r="D411" s="2">
        <f t="shared" si="75"/>
        <v>324</v>
      </c>
      <c r="E411" s="2">
        <v>73.209900000000005</v>
      </c>
      <c r="F411" s="2">
        <v>180.30189999999999</v>
      </c>
      <c r="G411" s="2">
        <v>0.49813000000000002</v>
      </c>
      <c r="H411" s="2">
        <v>4</v>
      </c>
      <c r="I411" s="3">
        <f t="shared" si="66"/>
        <v>-1.5647611225041334</v>
      </c>
      <c r="J411" s="3">
        <f t="shared" si="67"/>
        <v>-1.3846556421919931</v>
      </c>
      <c r="K411" s="3">
        <f t="shared" si="68"/>
        <v>-0.1601649381951048</v>
      </c>
      <c r="L411" s="3">
        <f t="shared" si="69"/>
        <v>5.5714081530504882E-2</v>
      </c>
      <c r="M411" s="3">
        <f t="shared" si="70"/>
        <v>2.6528262224287533E-2</v>
      </c>
      <c r="N411" s="3">
        <f t="shared" si="71"/>
        <v>0.31391471423157125</v>
      </c>
      <c r="O411" s="3">
        <f t="shared" si="72"/>
        <v>0.25298799978221143</v>
      </c>
      <c r="P411" s="3">
        <f t="shared" si="73"/>
        <v>0.5629118123156962</v>
      </c>
      <c r="Q411" s="3">
        <f t="shared" si="74"/>
        <v>-0.57463230198247295</v>
      </c>
      <c r="R411" s="3">
        <f t="shared" si="76"/>
        <v>0.4370881876843038</v>
      </c>
    </row>
    <row r="412" spans="1:18" x14ac:dyDescent="0.3">
      <c r="A412" s="2">
        <v>408</v>
      </c>
      <c r="B412" s="2">
        <v>1</v>
      </c>
      <c r="C412" s="2">
        <v>32</v>
      </c>
      <c r="D412" s="2">
        <f t="shared" si="75"/>
        <v>1024</v>
      </c>
      <c r="E412" s="2">
        <v>67.681200000000004</v>
      </c>
      <c r="F412" s="2">
        <v>186.08609999999999</v>
      </c>
      <c r="G412" s="2">
        <v>0.68930999999999998</v>
      </c>
      <c r="H412" s="2">
        <v>1</v>
      </c>
      <c r="I412" s="3">
        <f t="shared" si="66"/>
        <v>0.57644264204066809</v>
      </c>
      <c r="J412" s="3">
        <f t="shared" si="67"/>
        <v>0.49485684194965435</v>
      </c>
      <c r="K412" s="3">
        <f t="shared" si="68"/>
        <v>-0.71903598060989748</v>
      </c>
      <c r="L412" s="3">
        <f t="shared" si="69"/>
        <v>0.64063133729330624</v>
      </c>
      <c r="M412" s="3">
        <f t="shared" si="70"/>
        <v>0.69455915538054258</v>
      </c>
      <c r="N412" s="3">
        <f t="shared" si="71"/>
        <v>-1.4496510960581555</v>
      </c>
      <c r="O412" s="3">
        <f t="shared" si="72"/>
        <v>-6.3701266448034963E-2</v>
      </c>
      <c r="P412" s="3">
        <f t="shared" si="73"/>
        <v>0.48408006641760398</v>
      </c>
      <c r="Q412" s="3">
        <f t="shared" si="74"/>
        <v>-0.72550495946430427</v>
      </c>
      <c r="R412" s="3">
        <f t="shared" si="76"/>
        <v>0.51591993358239607</v>
      </c>
    </row>
    <row r="413" spans="1:18" x14ac:dyDescent="0.3">
      <c r="A413" s="2">
        <v>409</v>
      </c>
      <c r="B413" s="2">
        <v>1</v>
      </c>
      <c r="C413" s="2">
        <v>19</v>
      </c>
      <c r="D413" s="2">
        <f t="shared" si="75"/>
        <v>361</v>
      </c>
      <c r="E413" s="2">
        <v>76.954099999999997</v>
      </c>
      <c r="F413" s="2">
        <v>175.3673</v>
      </c>
      <c r="G413" s="2">
        <v>0.25231199999999998</v>
      </c>
      <c r="H413" s="2">
        <v>4</v>
      </c>
      <c r="I413" s="3">
        <f t="shared" si="66"/>
        <v>-1.4118179964652189</v>
      </c>
      <c r="J413" s="3">
        <f t="shared" si="67"/>
        <v>-1.2853099823159346</v>
      </c>
      <c r="K413" s="3">
        <f t="shared" si="68"/>
        <v>0.21831914613022707</v>
      </c>
      <c r="L413" s="3">
        <f t="shared" si="69"/>
        <v>-0.44328883854264506</v>
      </c>
      <c r="M413" s="3">
        <f t="shared" si="70"/>
        <v>-0.83242151334786618</v>
      </c>
      <c r="N413" s="3">
        <f t="shared" si="71"/>
        <v>0.31391471423157125</v>
      </c>
      <c r="O413" s="3">
        <f t="shared" si="72"/>
        <v>0.26822389013840342</v>
      </c>
      <c r="P413" s="3">
        <f t="shared" si="73"/>
        <v>0.56665682073275225</v>
      </c>
      <c r="Q413" s="3">
        <f t="shared" si="74"/>
        <v>-0.56800141293438544</v>
      </c>
      <c r="R413" s="3">
        <f t="shared" si="76"/>
        <v>0.43334317926724775</v>
      </c>
    </row>
    <row r="414" spans="1:18" x14ac:dyDescent="0.3">
      <c r="A414" s="2">
        <v>410</v>
      </c>
      <c r="B414" s="2">
        <v>0</v>
      </c>
      <c r="C414" s="2">
        <v>39</v>
      </c>
      <c r="D414" s="2">
        <f t="shared" si="75"/>
        <v>1521</v>
      </c>
      <c r="E414" s="2">
        <v>64.373699999999999</v>
      </c>
      <c r="F414" s="2">
        <v>177.8056</v>
      </c>
      <c r="G414" s="2">
        <v>0.30777100000000002</v>
      </c>
      <c r="H414" s="2">
        <v>4</v>
      </c>
      <c r="I414" s="3">
        <f t="shared" si="66"/>
        <v>1.6470445243130687</v>
      </c>
      <c r="J414" s="3">
        <f t="shared" si="67"/>
        <v>1.829310705690224</v>
      </c>
      <c r="K414" s="3">
        <f t="shared" si="68"/>
        <v>-1.0533760556342122</v>
      </c>
      <c r="L414" s="3">
        <f t="shared" si="69"/>
        <v>-0.19671995352372493</v>
      </c>
      <c r="M414" s="3">
        <f t="shared" si="70"/>
        <v>-0.63863385091689662</v>
      </c>
      <c r="N414" s="3">
        <f t="shared" si="71"/>
        <v>0.31391471423157125</v>
      </c>
      <c r="O414" s="3">
        <f t="shared" si="72"/>
        <v>-6.1635085952123463E-2</v>
      </c>
      <c r="P414" s="3">
        <f t="shared" si="73"/>
        <v>0.48459610467063957</v>
      </c>
      <c r="Q414" s="3">
        <f t="shared" si="74"/>
        <v>-0.66280442291629693</v>
      </c>
      <c r="R414" s="3">
        <f t="shared" si="76"/>
        <v>-0.48459610467063957</v>
      </c>
    </row>
    <row r="415" spans="1:18" x14ac:dyDescent="0.3">
      <c r="A415" s="2">
        <v>411</v>
      </c>
      <c r="B415" s="2">
        <v>0</v>
      </c>
      <c r="C415" s="2">
        <v>33</v>
      </c>
      <c r="D415" s="2">
        <f t="shared" si="75"/>
        <v>1089</v>
      </c>
      <c r="E415" s="2">
        <v>84.888800000000003</v>
      </c>
      <c r="F415" s="2">
        <v>194.55019999999999</v>
      </c>
      <c r="G415" s="2">
        <v>0.61363800000000002</v>
      </c>
      <c r="H415" s="2">
        <v>2</v>
      </c>
      <c r="I415" s="3">
        <f t="shared" si="66"/>
        <v>0.72938576807958244</v>
      </c>
      <c r="J415" s="3">
        <f t="shared" si="67"/>
        <v>0.66938300119137872</v>
      </c>
      <c r="K415" s="3">
        <f t="shared" si="68"/>
        <v>1.0204017442543174</v>
      </c>
      <c r="L415" s="3">
        <f t="shared" si="69"/>
        <v>1.4965488616703904</v>
      </c>
      <c r="M415" s="3">
        <f t="shared" si="70"/>
        <v>0.43014219886354227</v>
      </c>
      <c r="N415" s="3">
        <f t="shared" si="71"/>
        <v>-0.86179582596158</v>
      </c>
      <c r="O415" s="3">
        <f t="shared" si="72"/>
        <v>6.8454752307911398E-2</v>
      </c>
      <c r="P415" s="3">
        <f t="shared" si="73"/>
        <v>0.51710700823622779</v>
      </c>
      <c r="Q415" s="3">
        <f t="shared" si="74"/>
        <v>-0.72796019901853004</v>
      </c>
      <c r="R415" s="3">
        <f t="shared" si="76"/>
        <v>-0.51710700823622779</v>
      </c>
    </row>
    <row r="416" spans="1:18" x14ac:dyDescent="0.3">
      <c r="A416" s="2">
        <v>412</v>
      </c>
      <c r="B416" s="2">
        <v>1</v>
      </c>
      <c r="C416" s="2">
        <v>25</v>
      </c>
      <c r="D416" s="2">
        <f t="shared" si="75"/>
        <v>625</v>
      </c>
      <c r="E416" s="2">
        <v>81.233099999999993</v>
      </c>
      <c r="F416" s="2">
        <v>180.0308</v>
      </c>
      <c r="G416" s="2">
        <v>0.89793500000000004</v>
      </c>
      <c r="H416" s="2">
        <v>3</v>
      </c>
      <c r="I416" s="3">
        <f t="shared" si="66"/>
        <v>-0.49415924023173263</v>
      </c>
      <c r="J416" s="3">
        <f t="shared" si="67"/>
        <v>-0.57646527401108472</v>
      </c>
      <c r="K416" s="3">
        <f t="shared" si="68"/>
        <v>0.6508637208933532</v>
      </c>
      <c r="L416" s="3">
        <f t="shared" si="69"/>
        <v>2.8299561279253267E-2</v>
      </c>
      <c r="M416" s="3">
        <f t="shared" si="70"/>
        <v>1.4235472560433931</v>
      </c>
      <c r="N416" s="3">
        <f t="shared" si="71"/>
        <v>-0.27394055586500432</v>
      </c>
      <c r="O416" s="3">
        <f t="shared" si="72"/>
        <v>5.7365712527302763E-2</v>
      </c>
      <c r="P416" s="3">
        <f t="shared" si="73"/>
        <v>0.5143374964981644</v>
      </c>
      <c r="Q416" s="3">
        <f t="shared" si="74"/>
        <v>-0.66487562102658904</v>
      </c>
      <c r="R416" s="3">
        <f t="shared" si="76"/>
        <v>0.4856625035018356</v>
      </c>
    </row>
    <row r="417" spans="1:18" x14ac:dyDescent="0.3">
      <c r="A417" s="2">
        <v>413</v>
      </c>
      <c r="B417" s="2">
        <v>0</v>
      </c>
      <c r="C417" s="2">
        <v>30</v>
      </c>
      <c r="D417" s="2">
        <f t="shared" si="75"/>
        <v>900</v>
      </c>
      <c r="E417" s="2">
        <v>70.065399999999997</v>
      </c>
      <c r="F417" s="2">
        <v>178.2079</v>
      </c>
      <c r="G417" s="2">
        <v>0.80992399999999998</v>
      </c>
      <c r="H417" s="2">
        <v>2</v>
      </c>
      <c r="I417" s="3">
        <f t="shared" si="66"/>
        <v>0.27055638996283926</v>
      </c>
      <c r="J417" s="3">
        <f t="shared" si="67"/>
        <v>0.16191463047313392</v>
      </c>
      <c r="K417" s="3">
        <f t="shared" si="68"/>
        <v>-0.47802808737544011</v>
      </c>
      <c r="L417" s="3">
        <f t="shared" si="69"/>
        <v>-0.15603805939949458</v>
      </c>
      <c r="M417" s="3">
        <f t="shared" si="70"/>
        <v>1.1160147372779616</v>
      </c>
      <c r="N417" s="3">
        <f t="shared" si="71"/>
        <v>-0.86179582596158</v>
      </c>
      <c r="O417" s="3">
        <f t="shared" si="72"/>
        <v>-7.6581640321646605E-2</v>
      </c>
      <c r="P417" s="3">
        <f t="shared" si="73"/>
        <v>0.48086394135178739</v>
      </c>
      <c r="Q417" s="3">
        <f t="shared" si="74"/>
        <v>-0.65558927478142237</v>
      </c>
      <c r="R417" s="3">
        <f t="shared" si="76"/>
        <v>-0.48086394135178739</v>
      </c>
    </row>
    <row r="418" spans="1:18" x14ac:dyDescent="0.3">
      <c r="A418" s="2">
        <v>414</v>
      </c>
      <c r="B418" s="2">
        <v>1</v>
      </c>
      <c r="C418" s="2">
        <v>38</v>
      </c>
      <c r="D418" s="2">
        <f t="shared" si="75"/>
        <v>1444</v>
      </c>
      <c r="E418" s="2">
        <v>70.550200000000004</v>
      </c>
      <c r="F418" s="2">
        <v>180.82509999999999</v>
      </c>
      <c r="G418" s="2">
        <v>0.58313000000000004</v>
      </c>
      <c r="H418" s="2">
        <v>6</v>
      </c>
      <c r="I418" s="3">
        <f t="shared" si="66"/>
        <v>1.4941013982741542</v>
      </c>
      <c r="J418" s="3">
        <f t="shared" si="67"/>
        <v>1.6225643324346428</v>
      </c>
      <c r="K418" s="3">
        <f t="shared" si="68"/>
        <v>-0.42902186866892766</v>
      </c>
      <c r="L418" s="3">
        <f t="shared" si="69"/>
        <v>0.10862177978006392</v>
      </c>
      <c r="M418" s="3">
        <f t="shared" si="70"/>
        <v>0.3235395914338372</v>
      </c>
      <c r="N418" s="3">
        <f t="shared" si="71"/>
        <v>1.4896252544247224</v>
      </c>
      <c r="O418" s="3">
        <f t="shared" si="72"/>
        <v>-7.8907848413349843E-2</v>
      </c>
      <c r="P418" s="3">
        <f t="shared" si="73"/>
        <v>0.48028326727031045</v>
      </c>
      <c r="Q418" s="3">
        <f t="shared" si="74"/>
        <v>-0.7333792089979384</v>
      </c>
      <c r="R418" s="3">
        <f t="shared" si="76"/>
        <v>0.51971673272968955</v>
      </c>
    </row>
    <row r="419" spans="1:18" x14ac:dyDescent="0.3">
      <c r="A419" s="2">
        <v>415</v>
      </c>
      <c r="B419" s="2">
        <v>1</v>
      </c>
      <c r="C419" s="2">
        <v>18</v>
      </c>
      <c r="D419" s="2">
        <f t="shared" si="75"/>
        <v>324</v>
      </c>
      <c r="E419" s="2">
        <v>77.755099999999999</v>
      </c>
      <c r="F419" s="2">
        <v>178.38640000000001</v>
      </c>
      <c r="G419" s="2">
        <v>0.73022200000000004</v>
      </c>
      <c r="H419" s="2">
        <v>1</v>
      </c>
      <c r="I419" s="3">
        <f t="shared" si="66"/>
        <v>-1.5647611225041334</v>
      </c>
      <c r="J419" s="3">
        <f t="shared" si="67"/>
        <v>-1.3846556421919931</v>
      </c>
      <c r="K419" s="3">
        <f t="shared" si="68"/>
        <v>0.29928857926536734</v>
      </c>
      <c r="L419" s="3">
        <f t="shared" si="69"/>
        <v>-0.13798755454944303</v>
      </c>
      <c r="M419" s="3">
        <f t="shared" si="70"/>
        <v>0.83751594950549679</v>
      </c>
      <c r="N419" s="3">
        <f t="shared" si="71"/>
        <v>-1.4496510960581555</v>
      </c>
      <c r="O419" s="3">
        <f t="shared" si="72"/>
        <v>0.26874435734975816</v>
      </c>
      <c r="P419" s="3">
        <f t="shared" si="73"/>
        <v>0.56678462059459322</v>
      </c>
      <c r="Q419" s="3">
        <f t="shared" si="74"/>
        <v>-0.56777590527651667</v>
      </c>
      <c r="R419" s="3">
        <f t="shared" si="76"/>
        <v>0.43321537940540678</v>
      </c>
    </row>
    <row r="420" spans="1:18" x14ac:dyDescent="0.3">
      <c r="A420" s="2">
        <v>416</v>
      </c>
      <c r="B420" s="2">
        <v>0</v>
      </c>
      <c r="C420" s="2">
        <v>33</v>
      </c>
      <c r="D420" s="2">
        <f t="shared" si="75"/>
        <v>1089</v>
      </c>
      <c r="E420" s="2">
        <v>67.014499999999998</v>
      </c>
      <c r="F420" s="2">
        <v>172.90430000000001</v>
      </c>
      <c r="G420" s="2">
        <v>0.36482199999999998</v>
      </c>
      <c r="H420" s="2">
        <v>4</v>
      </c>
      <c r="I420" s="3">
        <f t="shared" si="66"/>
        <v>0.72938576807958244</v>
      </c>
      <c r="J420" s="3">
        <f t="shared" si="67"/>
        <v>0.66938300119137872</v>
      </c>
      <c r="K420" s="3">
        <f t="shared" si="68"/>
        <v>-0.78642963987481429</v>
      </c>
      <c r="L420" s="3">
        <f t="shared" si="69"/>
        <v>-0.6923554684903952</v>
      </c>
      <c r="M420" s="3">
        <f t="shared" si="70"/>
        <v>-0.43928334100237892</v>
      </c>
      <c r="N420" s="3">
        <f t="shared" si="71"/>
        <v>0.31391471423157125</v>
      </c>
      <c r="O420" s="3">
        <f t="shared" si="72"/>
        <v>-8.0178364362370899E-2</v>
      </c>
      <c r="P420" s="3">
        <f t="shared" si="73"/>
        <v>0.47996614018238515</v>
      </c>
      <c r="Q420" s="3">
        <f t="shared" si="74"/>
        <v>-0.65386135449268112</v>
      </c>
      <c r="R420" s="3">
        <f t="shared" si="76"/>
        <v>-0.47996614018238515</v>
      </c>
    </row>
    <row r="421" spans="1:18" x14ac:dyDescent="0.3">
      <c r="A421" s="2">
        <v>417</v>
      </c>
      <c r="B421" s="2">
        <v>1</v>
      </c>
      <c r="C421" s="2">
        <v>24</v>
      </c>
      <c r="D421" s="2">
        <f t="shared" si="75"/>
        <v>576</v>
      </c>
      <c r="E421" s="2">
        <v>93.119799999999998</v>
      </c>
      <c r="F421" s="2">
        <v>170.0197</v>
      </c>
      <c r="G421" s="2">
        <v>0.64096600000000004</v>
      </c>
      <c r="H421" s="2">
        <v>2</v>
      </c>
      <c r="I421" s="3">
        <f t="shared" si="66"/>
        <v>-0.64710236627064699</v>
      </c>
      <c r="J421" s="3">
        <f t="shared" si="67"/>
        <v>-0.70803114790099997</v>
      </c>
      <c r="K421" s="3">
        <f t="shared" si="68"/>
        <v>1.8524359566579847</v>
      </c>
      <c r="L421" s="3">
        <f t="shared" si="69"/>
        <v>-0.98405567179826514</v>
      </c>
      <c r="M421" s="3">
        <f t="shared" si="70"/>
        <v>0.52563308832987843</v>
      </c>
      <c r="N421" s="3">
        <f t="shared" si="71"/>
        <v>-0.86179582596158</v>
      </c>
      <c r="O421" s="3">
        <f t="shared" si="72"/>
        <v>0.18079711825497952</v>
      </c>
      <c r="P421" s="3">
        <f t="shared" si="73"/>
        <v>0.54507655936774335</v>
      </c>
      <c r="Q421" s="3">
        <f t="shared" si="74"/>
        <v>-0.60682901828059266</v>
      </c>
      <c r="R421" s="3">
        <f t="shared" si="76"/>
        <v>0.45492344063225665</v>
      </c>
    </row>
    <row r="422" spans="1:18" x14ac:dyDescent="0.3">
      <c r="A422" s="2">
        <v>418</v>
      </c>
      <c r="B422" s="2">
        <v>1</v>
      </c>
      <c r="C422" s="2">
        <v>22</v>
      </c>
      <c r="D422" s="2">
        <f t="shared" si="75"/>
        <v>484</v>
      </c>
      <c r="E422" s="2">
        <v>78.579300000000003</v>
      </c>
      <c r="F422" s="2">
        <v>172.3657</v>
      </c>
      <c r="G422" s="2">
        <v>0.46618199999999999</v>
      </c>
      <c r="H422" s="2">
        <v>2</v>
      </c>
      <c r="I422" s="3">
        <f t="shared" si="66"/>
        <v>-0.9529886183484757</v>
      </c>
      <c r="J422" s="3">
        <f t="shared" si="67"/>
        <v>-0.9550527886739022</v>
      </c>
      <c r="K422" s="3">
        <f t="shared" si="68"/>
        <v>0.38260319448382279</v>
      </c>
      <c r="L422" s="3">
        <f t="shared" si="69"/>
        <v>-0.74682046519760559</v>
      </c>
      <c r="M422" s="3">
        <f t="shared" si="70"/>
        <v>-8.5106066547320697E-2</v>
      </c>
      <c r="N422" s="3">
        <f t="shared" si="71"/>
        <v>-0.86179582596158</v>
      </c>
      <c r="O422" s="3">
        <f t="shared" si="72"/>
        <v>0.16579542845038162</v>
      </c>
      <c r="P422" s="3">
        <f t="shared" si="73"/>
        <v>0.54135417143325881</v>
      </c>
      <c r="Q422" s="3">
        <f t="shared" si="74"/>
        <v>-0.61368155364254362</v>
      </c>
      <c r="R422" s="3">
        <f t="shared" si="76"/>
        <v>0.45864582856674119</v>
      </c>
    </row>
    <row r="423" spans="1:18" x14ac:dyDescent="0.3">
      <c r="A423" s="2">
        <v>419</v>
      </c>
      <c r="B423" s="2">
        <v>1</v>
      </c>
      <c r="C423" s="2">
        <v>39</v>
      </c>
      <c r="D423" s="2">
        <f t="shared" si="75"/>
        <v>1521</v>
      </c>
      <c r="E423" s="2">
        <v>78.932599999999994</v>
      </c>
      <c r="F423" s="2">
        <v>188.72919999999999</v>
      </c>
      <c r="G423" s="2">
        <v>0.18993599999999999</v>
      </c>
      <c r="H423" s="2">
        <v>2</v>
      </c>
      <c r="I423" s="3">
        <f t="shared" si="66"/>
        <v>1.6470445243130687</v>
      </c>
      <c r="J423" s="3">
        <f t="shared" si="67"/>
        <v>1.829310705690224</v>
      </c>
      <c r="K423" s="3">
        <f t="shared" si="68"/>
        <v>0.41831667853706145</v>
      </c>
      <c r="L423" s="3">
        <f t="shared" si="69"/>
        <v>0.90791026933346097</v>
      </c>
      <c r="M423" s="3">
        <f t="shared" si="70"/>
        <v>-1.0503789094746292</v>
      </c>
      <c r="N423" s="3">
        <f t="shared" si="71"/>
        <v>-0.86179582596158</v>
      </c>
      <c r="O423" s="3">
        <f t="shared" si="72"/>
        <v>9.434523967595812E-2</v>
      </c>
      <c r="P423" s="3">
        <f t="shared" si="73"/>
        <v>0.52356883028444434</v>
      </c>
      <c r="Q423" s="3">
        <f t="shared" si="74"/>
        <v>-0.64708677635081036</v>
      </c>
      <c r="R423" s="3">
        <f t="shared" si="76"/>
        <v>0.47643116971555566</v>
      </c>
    </row>
    <row r="424" spans="1:18" x14ac:dyDescent="0.3">
      <c r="A424" s="2">
        <v>420</v>
      </c>
      <c r="B424" s="2">
        <v>0</v>
      </c>
      <c r="C424" s="2">
        <v>20</v>
      </c>
      <c r="D424" s="2">
        <f t="shared" si="75"/>
        <v>400</v>
      </c>
      <c r="E424" s="2">
        <v>81.814499999999995</v>
      </c>
      <c r="F424" s="2">
        <v>173.70089999999999</v>
      </c>
      <c r="G424" s="2">
        <v>0.70173799999999997</v>
      </c>
      <c r="H424" s="2">
        <v>1</v>
      </c>
      <c r="I424" s="3">
        <f t="shared" si="66"/>
        <v>-1.2588748704263044</v>
      </c>
      <c r="J424" s="3">
        <f t="shared" si="67"/>
        <v>-1.1805942867708998</v>
      </c>
      <c r="K424" s="3">
        <f t="shared" si="68"/>
        <v>0.7096347925847023</v>
      </c>
      <c r="L424" s="3">
        <f t="shared" si="69"/>
        <v>-0.61180066645370246</v>
      </c>
      <c r="M424" s="3">
        <f t="shared" si="70"/>
        <v>0.7379857059619106</v>
      </c>
      <c r="N424" s="3">
        <f t="shared" si="71"/>
        <v>-1.4496510960581555</v>
      </c>
      <c r="O424" s="3">
        <f t="shared" si="72"/>
        <v>0.22198608477507364</v>
      </c>
      <c r="P424" s="3">
        <f t="shared" si="73"/>
        <v>0.55526974300146692</v>
      </c>
      <c r="Q424" s="3">
        <f t="shared" si="74"/>
        <v>-0.81028734465583951</v>
      </c>
      <c r="R424" s="3">
        <f t="shared" si="76"/>
        <v>-0.55526974300146692</v>
      </c>
    </row>
    <row r="425" spans="1:18" x14ac:dyDescent="0.3">
      <c r="A425" s="2">
        <v>421</v>
      </c>
      <c r="B425" s="2">
        <v>1</v>
      </c>
      <c r="C425" s="2">
        <v>29</v>
      </c>
      <c r="D425" s="2">
        <f t="shared" si="75"/>
        <v>841</v>
      </c>
      <c r="E425" s="2">
        <v>69.205399999999997</v>
      </c>
      <c r="F425" s="2">
        <v>178.45079999999999</v>
      </c>
      <c r="G425" s="2">
        <v>0.55646499999999999</v>
      </c>
      <c r="H425" s="2">
        <v>3</v>
      </c>
      <c r="I425" s="3">
        <f t="shared" si="66"/>
        <v>0.1176132639239249</v>
      </c>
      <c r="J425" s="3">
        <f t="shared" si="67"/>
        <v>3.4985782383379449E-3</v>
      </c>
      <c r="K425" s="3">
        <f t="shared" si="68"/>
        <v>-0.56496156115349305</v>
      </c>
      <c r="L425" s="3">
        <f t="shared" si="69"/>
        <v>-0.1314752155447213</v>
      </c>
      <c r="M425" s="3">
        <f t="shared" si="70"/>
        <v>0.23036539033533537</v>
      </c>
      <c r="N425" s="3">
        <f t="shared" si="71"/>
        <v>-0.27394055586500432</v>
      </c>
      <c r="O425" s="3">
        <f t="shared" si="72"/>
        <v>-4.1132870698795981E-2</v>
      </c>
      <c r="P425" s="3">
        <f t="shared" si="73"/>
        <v>0.48971823193922265</v>
      </c>
      <c r="Q425" s="3">
        <f t="shared" si="74"/>
        <v>-0.71392509013329786</v>
      </c>
      <c r="R425" s="3">
        <f t="shared" si="76"/>
        <v>0.51028176806077741</v>
      </c>
    </row>
    <row r="426" spans="1:18" x14ac:dyDescent="0.3">
      <c r="A426" s="2">
        <v>422</v>
      </c>
      <c r="B426" s="2">
        <v>1</v>
      </c>
      <c r="C426" s="2">
        <v>33</v>
      </c>
      <c r="D426" s="2">
        <f t="shared" si="75"/>
        <v>1089</v>
      </c>
      <c r="E426" s="2">
        <v>85.890100000000004</v>
      </c>
      <c r="F426" s="2">
        <v>187.00739999999999</v>
      </c>
      <c r="G426" s="2">
        <v>0.358622</v>
      </c>
      <c r="H426" s="2">
        <v>2</v>
      </c>
      <c r="I426" s="3">
        <f t="shared" si="66"/>
        <v>0.72938576807958244</v>
      </c>
      <c r="J426" s="3">
        <f t="shared" si="67"/>
        <v>0.66938300119137872</v>
      </c>
      <c r="K426" s="3">
        <f t="shared" si="68"/>
        <v>1.121618589944974</v>
      </c>
      <c r="L426" s="3">
        <f t="shared" si="69"/>
        <v>0.73379621190591826</v>
      </c>
      <c r="M426" s="3">
        <f t="shared" si="70"/>
        <v>-0.46094769678001657</v>
      </c>
      <c r="N426" s="3">
        <f t="shared" si="71"/>
        <v>-0.86179582596158</v>
      </c>
      <c r="O426" s="3">
        <f t="shared" si="72"/>
        <v>9.5282703742768066E-2</v>
      </c>
      <c r="P426" s="3">
        <f t="shared" si="73"/>
        <v>0.5238026703656502</v>
      </c>
      <c r="Q426" s="3">
        <f t="shared" si="74"/>
        <v>-0.64664024885804183</v>
      </c>
      <c r="R426" s="3">
        <f t="shared" si="76"/>
        <v>0.4761973296343498</v>
      </c>
    </row>
    <row r="427" spans="1:18" x14ac:dyDescent="0.3">
      <c r="A427" s="2">
        <v>423</v>
      </c>
      <c r="B427" s="2">
        <v>1</v>
      </c>
      <c r="C427" s="2">
        <v>36</v>
      </c>
      <c r="D427" s="2">
        <f t="shared" si="75"/>
        <v>1296</v>
      </c>
      <c r="E427" s="2">
        <v>76.145300000000006</v>
      </c>
      <c r="F427" s="2">
        <v>177.21610000000001</v>
      </c>
      <c r="G427" s="2">
        <v>0.91133900000000001</v>
      </c>
      <c r="H427" s="2">
        <v>1</v>
      </c>
      <c r="I427" s="3">
        <f t="shared" si="66"/>
        <v>1.1882151461963255</v>
      </c>
      <c r="J427" s="3">
        <f t="shared" si="67"/>
        <v>1.2251816929304087</v>
      </c>
      <c r="K427" s="3">
        <f t="shared" si="68"/>
        <v>0.1365612466050079</v>
      </c>
      <c r="L427" s="3">
        <f t="shared" si="69"/>
        <v>-0.25633212500330099</v>
      </c>
      <c r="M427" s="3">
        <f t="shared" si="70"/>
        <v>1.4703841955342731</v>
      </c>
      <c r="N427" s="3">
        <f t="shared" si="71"/>
        <v>-1.4496510960581555</v>
      </c>
      <c r="O427" s="3">
        <f t="shared" si="72"/>
        <v>-6.765467583861573E-2</v>
      </c>
      <c r="P427" s="3">
        <f t="shared" si="73"/>
        <v>0.48309277946275264</v>
      </c>
      <c r="Q427" s="3">
        <f t="shared" si="74"/>
        <v>-0.72754655379148814</v>
      </c>
      <c r="R427" s="3">
        <f t="shared" si="76"/>
        <v>0.51690722053724736</v>
      </c>
    </row>
    <row r="428" spans="1:18" x14ac:dyDescent="0.3">
      <c r="A428" s="2">
        <v>424</v>
      </c>
      <c r="B428" s="2">
        <v>1</v>
      </c>
      <c r="C428" s="2">
        <v>22</v>
      </c>
      <c r="D428" s="2">
        <f t="shared" si="75"/>
        <v>484</v>
      </c>
      <c r="E428" s="2">
        <v>84.501499999999993</v>
      </c>
      <c r="F428" s="2">
        <v>186.33359999999999</v>
      </c>
      <c r="G428" s="2">
        <v>2.0934000000000001E-2</v>
      </c>
      <c r="H428" s="2">
        <v>4</v>
      </c>
      <c r="I428" s="3">
        <f t="shared" si="66"/>
        <v>-0.9529886183484757</v>
      </c>
      <c r="J428" s="3">
        <f t="shared" si="67"/>
        <v>-0.9550527886739022</v>
      </c>
      <c r="K428" s="3">
        <f t="shared" si="68"/>
        <v>0.98125135542380493</v>
      </c>
      <c r="L428" s="3">
        <f t="shared" si="69"/>
        <v>0.66565934821984662</v>
      </c>
      <c r="M428" s="3">
        <f t="shared" si="70"/>
        <v>-1.6409143054637152</v>
      </c>
      <c r="N428" s="3">
        <f t="shared" si="71"/>
        <v>0.31391471423157125</v>
      </c>
      <c r="O428" s="3">
        <f t="shared" si="72"/>
        <v>0.28750908422317889</v>
      </c>
      <c r="P428" s="3">
        <f t="shared" si="73"/>
        <v>0.57138620644105509</v>
      </c>
      <c r="Q428" s="3">
        <f t="shared" si="74"/>
        <v>-0.55968992941198759</v>
      </c>
      <c r="R428" s="3">
        <f t="shared" si="76"/>
        <v>0.42861379355894491</v>
      </c>
    </row>
    <row r="429" spans="1:18" x14ac:dyDescent="0.3">
      <c r="A429" s="2">
        <v>425</v>
      </c>
      <c r="B429" s="2">
        <v>1</v>
      </c>
      <c r="C429" s="2">
        <v>39</v>
      </c>
      <c r="D429" s="2">
        <f t="shared" si="75"/>
        <v>1521</v>
      </c>
      <c r="E429" s="2">
        <v>73.020499999999998</v>
      </c>
      <c r="F429" s="2">
        <v>164.59209999999999</v>
      </c>
      <c r="G429" s="2">
        <v>0.31577300000000003</v>
      </c>
      <c r="H429" s="2">
        <v>6</v>
      </c>
      <c r="I429" s="3">
        <f t="shared" si="66"/>
        <v>1.6470445243130687</v>
      </c>
      <c r="J429" s="3">
        <f t="shared" si="67"/>
        <v>1.829310705690224</v>
      </c>
      <c r="K429" s="3">
        <f t="shared" si="68"/>
        <v>-0.1793105195132022</v>
      </c>
      <c r="L429" s="3">
        <f t="shared" si="69"/>
        <v>-1.5329123671715559</v>
      </c>
      <c r="M429" s="3">
        <f t="shared" si="70"/>
        <v>-0.61067285496001633</v>
      </c>
      <c r="N429" s="3">
        <f t="shared" si="71"/>
        <v>1.4896252544247224</v>
      </c>
      <c r="O429" s="3">
        <f t="shared" si="72"/>
        <v>-5.2886394261377728E-2</v>
      </c>
      <c r="P429" s="3">
        <f t="shared" si="73"/>
        <v>0.48678148227493706</v>
      </c>
      <c r="Q429" s="3">
        <f t="shared" si="74"/>
        <v>-0.71993995829044988</v>
      </c>
      <c r="R429" s="3">
        <f t="shared" si="76"/>
        <v>0.51321851772506299</v>
      </c>
    </row>
    <row r="430" spans="1:18" x14ac:dyDescent="0.3">
      <c r="A430" s="2">
        <v>426</v>
      </c>
      <c r="B430" s="2">
        <v>1</v>
      </c>
      <c r="C430" s="2">
        <v>31</v>
      </c>
      <c r="D430" s="2">
        <f t="shared" si="75"/>
        <v>961</v>
      </c>
      <c r="E430" s="2">
        <v>88.172799999999995</v>
      </c>
      <c r="F430" s="2">
        <v>178.6748</v>
      </c>
      <c r="G430" s="2">
        <v>5.6881000000000001E-2</v>
      </c>
      <c r="H430" s="2">
        <v>5</v>
      </c>
      <c r="I430" s="3">
        <f t="shared" si="66"/>
        <v>0.42349951600175367</v>
      </c>
      <c r="J430" s="3">
        <f t="shared" si="67"/>
        <v>0.32570071837690606</v>
      </c>
      <c r="K430" s="3">
        <f t="shared" si="68"/>
        <v>1.3523663115649283</v>
      </c>
      <c r="L430" s="3">
        <f t="shared" si="69"/>
        <v>-0.10882360161524479</v>
      </c>
      <c r="M430" s="3">
        <f t="shared" si="70"/>
        <v>-1.5153064672155305</v>
      </c>
      <c r="N430" s="3">
        <f t="shared" si="71"/>
        <v>0.90176998432814681</v>
      </c>
      <c r="O430" s="3">
        <f t="shared" si="72"/>
        <v>0.12274152991589188</v>
      </c>
      <c r="P430" s="3">
        <f t="shared" si="73"/>
        <v>0.53064691625306315</v>
      </c>
      <c r="Q430" s="3">
        <f t="shared" si="74"/>
        <v>-0.6336584200546167</v>
      </c>
      <c r="R430" s="3">
        <f t="shared" si="76"/>
        <v>0.46935308374693685</v>
      </c>
    </row>
    <row r="431" spans="1:18" x14ac:dyDescent="0.3">
      <c r="A431" s="2">
        <v>427</v>
      </c>
      <c r="B431" s="2">
        <v>1</v>
      </c>
      <c r="C431" s="2">
        <v>22</v>
      </c>
      <c r="D431" s="2">
        <f t="shared" si="75"/>
        <v>484</v>
      </c>
      <c r="E431" s="2">
        <v>79.013400000000004</v>
      </c>
      <c r="F431" s="2">
        <v>180.78899999999999</v>
      </c>
      <c r="G431" s="2">
        <v>0.76652699999999996</v>
      </c>
      <c r="H431" s="2">
        <v>1</v>
      </c>
      <c r="I431" s="3">
        <f t="shared" si="66"/>
        <v>-0.9529886183484757</v>
      </c>
      <c r="J431" s="3">
        <f t="shared" si="67"/>
        <v>-0.9550527886739022</v>
      </c>
      <c r="K431" s="3">
        <f t="shared" si="68"/>
        <v>0.4264843816548145</v>
      </c>
      <c r="L431" s="3">
        <f t="shared" si="69"/>
        <v>0.10497122949946507</v>
      </c>
      <c r="M431" s="3">
        <f t="shared" si="70"/>
        <v>0.96437472958729298</v>
      </c>
      <c r="N431" s="3">
        <f t="shared" si="71"/>
        <v>-1.4496510960581555</v>
      </c>
      <c r="O431" s="3">
        <f t="shared" si="72"/>
        <v>0.1520094347084357</v>
      </c>
      <c r="P431" s="3">
        <f t="shared" si="73"/>
        <v>0.53792935107893347</v>
      </c>
      <c r="Q431" s="3">
        <f t="shared" si="74"/>
        <v>-0.62002804514042598</v>
      </c>
      <c r="R431" s="3">
        <f t="shared" si="76"/>
        <v>0.46207064892106653</v>
      </c>
    </row>
    <row r="432" spans="1:18" x14ac:dyDescent="0.3">
      <c r="A432" s="2">
        <v>428</v>
      </c>
      <c r="B432" s="2">
        <v>0</v>
      </c>
      <c r="C432" s="2">
        <v>32</v>
      </c>
      <c r="D432" s="2">
        <f t="shared" si="75"/>
        <v>1024</v>
      </c>
      <c r="E432" s="2">
        <v>96.825100000000006</v>
      </c>
      <c r="F432" s="2">
        <v>180.23140000000001</v>
      </c>
      <c r="G432" s="2">
        <v>0.70210700000000004</v>
      </c>
      <c r="H432" s="2">
        <v>5</v>
      </c>
      <c r="I432" s="3">
        <f t="shared" si="66"/>
        <v>0.57644264204066809</v>
      </c>
      <c r="J432" s="3">
        <f t="shared" si="67"/>
        <v>0.49485684194965435</v>
      </c>
      <c r="K432" s="3">
        <f t="shared" si="68"/>
        <v>2.2269878175763806</v>
      </c>
      <c r="L432" s="3">
        <f t="shared" si="69"/>
        <v>4.8584890539310491E-2</v>
      </c>
      <c r="M432" s="3">
        <f t="shared" si="70"/>
        <v>0.7392750845557734</v>
      </c>
      <c r="N432" s="3">
        <f t="shared" si="71"/>
        <v>0.90176998432814681</v>
      </c>
      <c r="O432" s="3">
        <f t="shared" si="72"/>
        <v>8.1023983137084726E-2</v>
      </c>
      <c r="P432" s="3">
        <f t="shared" si="73"/>
        <v>0.52024492152933888</v>
      </c>
      <c r="Q432" s="3">
        <f t="shared" si="74"/>
        <v>-0.73447955848977986</v>
      </c>
      <c r="R432" s="3">
        <f t="shared" si="76"/>
        <v>-0.52024492152933888</v>
      </c>
    </row>
    <row r="433" spans="1:18" x14ac:dyDescent="0.3">
      <c r="A433" s="2">
        <v>429</v>
      </c>
      <c r="B433" s="2">
        <v>0</v>
      </c>
      <c r="C433" s="2">
        <v>34</v>
      </c>
      <c r="D433" s="2">
        <f t="shared" si="75"/>
        <v>1156</v>
      </c>
      <c r="E433" s="2">
        <v>71.3048</v>
      </c>
      <c r="F433" s="2">
        <v>163.4708</v>
      </c>
      <c r="G433" s="2">
        <v>0.33135199999999998</v>
      </c>
      <c r="H433" s="2">
        <v>2</v>
      </c>
      <c r="I433" s="3">
        <f t="shared" si="66"/>
        <v>0.8823288941184968</v>
      </c>
      <c r="J433" s="3">
        <f t="shared" si="67"/>
        <v>0.84927919610207925</v>
      </c>
      <c r="K433" s="3">
        <f t="shared" si="68"/>
        <v>-0.35274279970041778</v>
      </c>
      <c r="L433" s="3">
        <f t="shared" si="69"/>
        <v>-1.6463018970783405</v>
      </c>
      <c r="M433" s="3">
        <f t="shared" si="70"/>
        <v>-0.5562359196923039</v>
      </c>
      <c r="N433" s="3">
        <f t="shared" si="71"/>
        <v>-0.86179582596158</v>
      </c>
      <c r="O433" s="3">
        <f t="shared" si="72"/>
        <v>-5.5125390106497994E-2</v>
      </c>
      <c r="P433" s="3">
        <f t="shared" si="73"/>
        <v>0.48622214131967384</v>
      </c>
      <c r="Q433" s="3">
        <f t="shared" si="74"/>
        <v>-0.66596428850012279</v>
      </c>
      <c r="R433" s="3">
        <f t="shared" si="76"/>
        <v>-0.48622214131967384</v>
      </c>
    </row>
    <row r="434" spans="1:18" x14ac:dyDescent="0.3">
      <c r="A434" s="2">
        <v>430</v>
      </c>
      <c r="B434" s="2">
        <v>1</v>
      </c>
      <c r="C434" s="2">
        <v>31</v>
      </c>
      <c r="D434" s="2">
        <f t="shared" si="75"/>
        <v>961</v>
      </c>
      <c r="E434" s="2">
        <v>77.045500000000004</v>
      </c>
      <c r="F434" s="2">
        <v>192.03110000000001</v>
      </c>
      <c r="G434" s="2">
        <v>0.67566300000000001</v>
      </c>
      <c r="H434" s="2">
        <v>2</v>
      </c>
      <c r="I434" s="3">
        <f t="shared" si="66"/>
        <v>0.42349951600175367</v>
      </c>
      <c r="J434" s="3">
        <f t="shared" si="67"/>
        <v>0.32570071837690606</v>
      </c>
      <c r="K434" s="3">
        <f t="shared" si="68"/>
        <v>0.22755835485501155</v>
      </c>
      <c r="L434" s="3">
        <f t="shared" si="69"/>
        <v>1.2418092159126257</v>
      </c>
      <c r="M434" s="3">
        <f t="shared" si="70"/>
        <v>0.64687311291321659</v>
      </c>
      <c r="N434" s="3">
        <f t="shared" si="71"/>
        <v>-0.86179582596158</v>
      </c>
      <c r="O434" s="3">
        <f t="shared" si="72"/>
        <v>1.3004530801533241E-2</v>
      </c>
      <c r="P434" s="3">
        <f t="shared" si="73"/>
        <v>0.50325108688245157</v>
      </c>
      <c r="Q434" s="3">
        <f t="shared" si="74"/>
        <v>-0.68666605473788866</v>
      </c>
      <c r="R434" s="3">
        <f t="shared" si="76"/>
        <v>0.49674891311754843</v>
      </c>
    </row>
    <row r="435" spans="1:18" x14ac:dyDescent="0.3">
      <c r="A435" s="2">
        <v>431</v>
      </c>
      <c r="B435" s="2">
        <v>0</v>
      </c>
      <c r="C435" s="2">
        <v>37</v>
      </c>
      <c r="D435" s="2">
        <f t="shared" si="75"/>
        <v>1369</v>
      </c>
      <c r="E435" s="2">
        <v>64.684200000000004</v>
      </c>
      <c r="F435" s="2">
        <v>171.45330000000001</v>
      </c>
      <c r="G435" s="2">
        <v>0.39593699999999998</v>
      </c>
      <c r="H435" s="2">
        <v>1</v>
      </c>
      <c r="I435" s="3">
        <f t="shared" si="66"/>
        <v>1.34115827223524</v>
      </c>
      <c r="J435" s="3">
        <f t="shared" si="67"/>
        <v>1.4211879948480377</v>
      </c>
      <c r="K435" s="3">
        <f t="shared" si="68"/>
        <v>-1.0219890281829496</v>
      </c>
      <c r="L435" s="3">
        <f t="shared" si="69"/>
        <v>-0.83908534264962575</v>
      </c>
      <c r="M435" s="3">
        <f t="shared" si="70"/>
        <v>-0.33055972325702437</v>
      </c>
      <c r="N435" s="3">
        <f t="shared" si="71"/>
        <v>-1.4496510960581555</v>
      </c>
      <c r="O435" s="3">
        <f t="shared" si="72"/>
        <v>-7.6830948256197809E-2</v>
      </c>
      <c r="P435" s="3">
        <f t="shared" si="73"/>
        <v>0.4808017059591414</v>
      </c>
      <c r="Q435" s="3">
        <f t="shared" si="74"/>
        <v>-0.65546939934330473</v>
      </c>
      <c r="R435" s="3">
        <f t="shared" si="76"/>
        <v>-0.4808017059591414</v>
      </c>
    </row>
    <row r="436" spans="1:18" x14ac:dyDescent="0.3">
      <c r="A436" s="2">
        <v>432</v>
      </c>
      <c r="B436" s="2">
        <v>0</v>
      </c>
      <c r="C436" s="2">
        <v>22</v>
      </c>
      <c r="D436" s="2">
        <f t="shared" si="75"/>
        <v>484</v>
      </c>
      <c r="E436" s="2">
        <v>69.706999999999994</v>
      </c>
      <c r="F436" s="2">
        <v>183.35040000000001</v>
      </c>
      <c r="G436" s="2">
        <v>0.75625399999999998</v>
      </c>
      <c r="H436" s="2">
        <v>5</v>
      </c>
      <c r="I436" s="3">
        <f t="shared" si="66"/>
        <v>-0.9529886183484757</v>
      </c>
      <c r="J436" s="3">
        <f t="shared" si="67"/>
        <v>-0.9550527886739022</v>
      </c>
      <c r="K436" s="3">
        <f t="shared" si="68"/>
        <v>-0.51425710714527084</v>
      </c>
      <c r="L436" s="3">
        <f t="shared" si="69"/>
        <v>0.36398838985195142</v>
      </c>
      <c r="M436" s="3">
        <f t="shared" si="70"/>
        <v>0.92847828976412006</v>
      </c>
      <c r="N436" s="3">
        <f t="shared" si="71"/>
        <v>0.90176998432814681</v>
      </c>
      <c r="O436" s="3">
        <f t="shared" si="72"/>
        <v>6.507515636373809E-2</v>
      </c>
      <c r="P436" s="3">
        <f t="shared" si="73"/>
        <v>0.51626305029807273</v>
      </c>
      <c r="Q436" s="3">
        <f t="shared" si="74"/>
        <v>-0.72621401236239813</v>
      </c>
      <c r="R436" s="3">
        <f t="shared" si="76"/>
        <v>-0.51626305029807273</v>
      </c>
    </row>
    <row r="437" spans="1:18" x14ac:dyDescent="0.3">
      <c r="A437" s="2">
        <v>433</v>
      </c>
      <c r="B437" s="2">
        <v>1</v>
      </c>
      <c r="C437" s="2">
        <v>29</v>
      </c>
      <c r="D437" s="2">
        <f t="shared" si="75"/>
        <v>841</v>
      </c>
      <c r="E437" s="2">
        <v>81.186899999999994</v>
      </c>
      <c r="F437" s="2">
        <v>180.0796</v>
      </c>
      <c r="G437" s="2">
        <v>0.45418399999999998</v>
      </c>
      <c r="H437" s="2">
        <v>2</v>
      </c>
      <c r="I437" s="3">
        <f t="shared" si="66"/>
        <v>0.1176132639239249</v>
      </c>
      <c r="J437" s="3">
        <f t="shared" si="67"/>
        <v>3.4985782383379449E-3</v>
      </c>
      <c r="K437" s="3">
        <f t="shared" si="68"/>
        <v>0.64619357381364861</v>
      </c>
      <c r="L437" s="3">
        <f t="shared" si="69"/>
        <v>3.3234377171031677E-2</v>
      </c>
      <c r="M437" s="3">
        <f t="shared" si="70"/>
        <v>-0.12703008922798162</v>
      </c>
      <c r="N437" s="3">
        <f t="shared" si="71"/>
        <v>-0.86179582596158</v>
      </c>
      <c r="O437" s="3">
        <f t="shared" si="72"/>
        <v>6.5473687020121227E-2</v>
      </c>
      <c r="P437" s="3">
        <f t="shared" si="73"/>
        <v>0.51636257690968701</v>
      </c>
      <c r="Q437" s="3">
        <f t="shared" si="74"/>
        <v>-0.6609460918268244</v>
      </c>
      <c r="R437" s="3">
        <f t="shared" si="76"/>
        <v>0.48363742309031299</v>
      </c>
    </row>
    <row r="438" spans="1:18" x14ac:dyDescent="0.3">
      <c r="A438" s="2">
        <v>434</v>
      </c>
      <c r="B438" s="2">
        <v>0</v>
      </c>
      <c r="C438" s="2">
        <v>33</v>
      </c>
      <c r="D438" s="2">
        <f t="shared" si="75"/>
        <v>1089</v>
      </c>
      <c r="E438" s="2">
        <v>86.293199999999999</v>
      </c>
      <c r="F438" s="2">
        <v>190.03710000000001</v>
      </c>
      <c r="G438" s="2">
        <v>0.41227999999999998</v>
      </c>
      <c r="H438" s="2">
        <v>4</v>
      </c>
      <c r="I438" s="3">
        <f t="shared" si="66"/>
        <v>0.72938576807958244</v>
      </c>
      <c r="J438" s="3">
        <f t="shared" si="67"/>
        <v>0.66938300119137872</v>
      </c>
      <c r="K438" s="3">
        <f t="shared" si="68"/>
        <v>1.1623661286425702</v>
      </c>
      <c r="L438" s="3">
        <f t="shared" si="69"/>
        <v>1.0401694026297126</v>
      </c>
      <c r="M438" s="3">
        <f t="shared" si="70"/>
        <v>-0.27345318027735765</v>
      </c>
      <c r="N438" s="3">
        <f t="shared" si="71"/>
        <v>0.31391471423157125</v>
      </c>
      <c r="O438" s="3">
        <f t="shared" si="72"/>
        <v>8.069194525301869E-2</v>
      </c>
      <c r="P438" s="3">
        <f t="shared" si="73"/>
        <v>0.52016204758999895</v>
      </c>
      <c r="Q438" s="3">
        <f t="shared" si="74"/>
        <v>-0.73430683122545226</v>
      </c>
      <c r="R438" s="3">
        <f t="shared" si="76"/>
        <v>-0.52016204758999895</v>
      </c>
    </row>
    <row r="439" spans="1:18" x14ac:dyDescent="0.3">
      <c r="A439" s="2">
        <v>435</v>
      </c>
      <c r="B439" s="2">
        <v>1</v>
      </c>
      <c r="C439" s="2">
        <v>33</v>
      </c>
      <c r="D439" s="2">
        <f t="shared" si="75"/>
        <v>1089</v>
      </c>
      <c r="E439" s="2">
        <v>104.65009999999999</v>
      </c>
      <c r="F439" s="2">
        <v>201.8749</v>
      </c>
      <c r="G439" s="2">
        <v>0.93472999999999995</v>
      </c>
      <c r="H439" s="2">
        <v>3</v>
      </c>
      <c r="I439" s="3">
        <f t="shared" si="66"/>
        <v>0.72938576807958244</v>
      </c>
      <c r="J439" s="3">
        <f t="shared" si="67"/>
        <v>0.66938300119137872</v>
      </c>
      <c r="K439" s="3">
        <f t="shared" si="68"/>
        <v>3.0179813435220364</v>
      </c>
      <c r="L439" s="3">
        <f t="shared" si="69"/>
        <v>2.2372465248365665</v>
      </c>
      <c r="M439" s="3">
        <f t="shared" si="70"/>
        <v>1.552118219081809</v>
      </c>
      <c r="N439" s="3">
        <f t="shared" si="71"/>
        <v>-0.27394055586500432</v>
      </c>
      <c r="O439" s="3">
        <f t="shared" si="72"/>
        <v>0.16070017276861256</v>
      </c>
      <c r="P439" s="3">
        <f t="shared" si="73"/>
        <v>0.5400888073660769</v>
      </c>
      <c r="Q439" s="3">
        <f t="shared" si="74"/>
        <v>-0.61602169486023783</v>
      </c>
      <c r="R439" s="3">
        <f t="shared" si="76"/>
        <v>0.4599111926339231</v>
      </c>
    </row>
    <row r="440" spans="1:18" x14ac:dyDescent="0.3">
      <c r="A440" s="2">
        <v>436</v>
      </c>
      <c r="B440" s="2">
        <v>1</v>
      </c>
      <c r="C440" s="2">
        <v>38</v>
      </c>
      <c r="D440" s="2">
        <f t="shared" si="75"/>
        <v>1444</v>
      </c>
      <c r="E440" s="2">
        <v>74.033699999999996</v>
      </c>
      <c r="F440" s="2">
        <v>167.09639999999999</v>
      </c>
      <c r="G440" s="2">
        <v>0.25087900000000002</v>
      </c>
      <c r="H440" s="2">
        <v>3</v>
      </c>
      <c r="I440" s="3">
        <f t="shared" si="66"/>
        <v>1.4941013982741542</v>
      </c>
      <c r="J440" s="3">
        <f t="shared" si="67"/>
        <v>1.6225643324346428</v>
      </c>
      <c r="K440" s="3">
        <f t="shared" si="68"/>
        <v>-7.6890757150500921E-2</v>
      </c>
      <c r="L440" s="3">
        <f t="shared" si="69"/>
        <v>-1.2796693459055581</v>
      </c>
      <c r="M440" s="3">
        <f t="shared" si="70"/>
        <v>-0.83742877493324597</v>
      </c>
      <c r="N440" s="3">
        <f t="shared" si="71"/>
        <v>-0.27394055586500432</v>
      </c>
      <c r="O440" s="3">
        <f t="shared" si="72"/>
        <v>-1.4067139190019177E-2</v>
      </c>
      <c r="P440" s="3">
        <f t="shared" si="73"/>
        <v>0.49648327319441987</v>
      </c>
      <c r="Q440" s="3">
        <f t="shared" si="74"/>
        <v>-0.70020548550163242</v>
      </c>
      <c r="R440" s="3">
        <f t="shared" si="76"/>
        <v>0.50351672680558013</v>
      </c>
    </row>
    <row r="441" spans="1:18" x14ac:dyDescent="0.3">
      <c r="A441" s="2">
        <v>437</v>
      </c>
      <c r="B441" s="2">
        <v>1</v>
      </c>
      <c r="C441" s="2">
        <v>24</v>
      </c>
      <c r="D441" s="2">
        <f t="shared" si="75"/>
        <v>576</v>
      </c>
      <c r="E441" s="2">
        <v>65.667900000000003</v>
      </c>
      <c r="F441" s="2">
        <v>173.51089999999999</v>
      </c>
      <c r="G441" s="2">
        <v>0.120447</v>
      </c>
      <c r="H441" s="2">
        <v>2</v>
      </c>
      <c r="I441" s="3">
        <f t="shared" si="66"/>
        <v>-0.64710236627064699</v>
      </c>
      <c r="J441" s="3">
        <f t="shared" si="67"/>
        <v>-0.70803114790099997</v>
      </c>
      <c r="K441" s="3">
        <f t="shared" si="68"/>
        <v>-0.92255128614170467</v>
      </c>
      <c r="L441" s="3">
        <f t="shared" si="69"/>
        <v>-0.63101408898316746</v>
      </c>
      <c r="M441" s="3">
        <f t="shared" si="70"/>
        <v>-1.2931909124798338</v>
      </c>
      <c r="N441" s="3">
        <f t="shared" si="71"/>
        <v>-0.86179582596158</v>
      </c>
      <c r="O441" s="3">
        <f t="shared" si="72"/>
        <v>8.4355929951008282E-2</v>
      </c>
      <c r="P441" s="3">
        <f t="shared" si="73"/>
        <v>0.5210764857491097</v>
      </c>
      <c r="Q441" s="3">
        <f t="shared" si="74"/>
        <v>-0.65185844234318735</v>
      </c>
      <c r="R441" s="3">
        <f t="shared" si="76"/>
        <v>0.4789235142508903</v>
      </c>
    </row>
    <row r="442" spans="1:18" x14ac:dyDescent="0.3">
      <c r="A442" s="2">
        <v>438</v>
      </c>
      <c r="B442" s="2">
        <v>1</v>
      </c>
      <c r="C442" s="2">
        <v>21</v>
      </c>
      <c r="D442" s="2">
        <f t="shared" si="75"/>
        <v>441</v>
      </c>
      <c r="E442" s="2">
        <v>82.533299999999997</v>
      </c>
      <c r="F442" s="2">
        <v>181.89089999999999</v>
      </c>
      <c r="G442" s="2">
        <v>0.58454300000000003</v>
      </c>
      <c r="H442" s="2">
        <v>5</v>
      </c>
      <c r="I442" s="3">
        <f t="shared" si="66"/>
        <v>-1.1059317443873902</v>
      </c>
      <c r="J442" s="3">
        <f t="shared" si="67"/>
        <v>-1.0705085555568892</v>
      </c>
      <c r="K442" s="3">
        <f t="shared" si="68"/>
        <v>0.78229500299361465</v>
      </c>
      <c r="L442" s="3">
        <f t="shared" si="69"/>
        <v>0.21639896784271587</v>
      </c>
      <c r="M442" s="3">
        <f t="shared" si="70"/>
        <v>0.32847696800057946</v>
      </c>
      <c r="N442" s="3">
        <f t="shared" si="71"/>
        <v>0.90176998432814681</v>
      </c>
      <c r="O442" s="3">
        <f t="shared" si="72"/>
        <v>0.20029515414769858</v>
      </c>
      <c r="P442" s="3">
        <f t="shared" si="73"/>
        <v>0.5499070517804705</v>
      </c>
      <c r="Q442" s="3">
        <f t="shared" si="74"/>
        <v>-0.59800601179996327</v>
      </c>
      <c r="R442" s="3">
        <f t="shared" si="76"/>
        <v>0.4500929482195295</v>
      </c>
    </row>
    <row r="443" spans="1:18" x14ac:dyDescent="0.3">
      <c r="A443" s="2">
        <v>439</v>
      </c>
      <c r="B443" s="2">
        <v>1</v>
      </c>
      <c r="C443" s="2">
        <v>18</v>
      </c>
      <c r="D443" s="2">
        <f t="shared" si="75"/>
        <v>324</v>
      </c>
      <c r="E443" s="2">
        <v>63.721699999999998</v>
      </c>
      <c r="F443" s="2">
        <v>168.94649999999999</v>
      </c>
      <c r="G443" s="2">
        <v>0.96932200000000002</v>
      </c>
      <c r="H443" s="2">
        <v>6</v>
      </c>
      <c r="I443" s="3">
        <f t="shared" si="66"/>
        <v>-1.5647611225041334</v>
      </c>
      <c r="J443" s="3">
        <f t="shared" si="67"/>
        <v>-1.3846556421919931</v>
      </c>
      <c r="K443" s="3">
        <f t="shared" si="68"/>
        <v>-1.1192837590101317</v>
      </c>
      <c r="L443" s="3">
        <f t="shared" si="69"/>
        <v>-1.0925811721068033</v>
      </c>
      <c r="M443" s="3">
        <f t="shared" si="70"/>
        <v>1.6729913473173004</v>
      </c>
      <c r="N443" s="3">
        <f t="shared" si="71"/>
        <v>1.4896252544247224</v>
      </c>
      <c r="O443" s="3">
        <f t="shared" si="72"/>
        <v>7.7123251446953922E-2</v>
      </c>
      <c r="P443" s="3">
        <f t="shared" si="73"/>
        <v>0.51927126169305327</v>
      </c>
      <c r="Q443" s="3">
        <f t="shared" si="74"/>
        <v>-0.65532887013489061</v>
      </c>
      <c r="R443" s="3">
        <f t="shared" si="76"/>
        <v>0.48072873830694673</v>
      </c>
    </row>
    <row r="444" spans="1:18" x14ac:dyDescent="0.3">
      <c r="A444" s="2">
        <v>440</v>
      </c>
      <c r="B444" s="2">
        <v>0</v>
      </c>
      <c r="C444" s="2">
        <v>22</v>
      </c>
      <c r="D444" s="2">
        <f t="shared" si="75"/>
        <v>484</v>
      </c>
      <c r="E444" s="2">
        <v>80.642799999999994</v>
      </c>
      <c r="F444" s="2">
        <v>187.8218</v>
      </c>
      <c r="G444" s="2">
        <v>0.37783899999999998</v>
      </c>
      <c r="H444" s="2">
        <v>2</v>
      </c>
      <c r="I444" s="3">
        <f t="shared" si="66"/>
        <v>-0.9529886183484757</v>
      </c>
      <c r="J444" s="3">
        <f t="shared" si="67"/>
        <v>-0.9550527886739022</v>
      </c>
      <c r="K444" s="3">
        <f t="shared" si="68"/>
        <v>0.5911929888338362</v>
      </c>
      <c r="L444" s="3">
        <f t="shared" si="69"/>
        <v>0.81615100826379472</v>
      </c>
      <c r="M444" s="3">
        <f t="shared" si="70"/>
        <v>-0.3937986766221353</v>
      </c>
      <c r="N444" s="3">
        <f t="shared" si="71"/>
        <v>-0.86179582596158</v>
      </c>
      <c r="O444" s="3">
        <f t="shared" si="72"/>
        <v>0.22881724261476655</v>
      </c>
      <c r="P444" s="3">
        <f t="shared" si="73"/>
        <v>0.55695602179689019</v>
      </c>
      <c r="Q444" s="3">
        <f t="shared" si="74"/>
        <v>-0.81408624026811405</v>
      </c>
      <c r="R444" s="3">
        <f t="shared" si="76"/>
        <v>-0.55695602179689019</v>
      </c>
    </row>
    <row r="445" spans="1:18" x14ac:dyDescent="0.3">
      <c r="A445" s="2">
        <v>441</v>
      </c>
      <c r="B445" s="2">
        <v>1</v>
      </c>
      <c r="C445" s="2">
        <v>27</v>
      </c>
      <c r="D445" s="2">
        <f t="shared" si="75"/>
        <v>729</v>
      </c>
      <c r="E445" s="2">
        <v>69.977400000000003</v>
      </c>
      <c r="F445" s="2">
        <v>188.43369999999999</v>
      </c>
      <c r="G445" s="2">
        <v>6.2037000000000002E-2</v>
      </c>
      <c r="H445" s="2">
        <v>6</v>
      </c>
      <c r="I445" s="3">
        <f t="shared" si="66"/>
        <v>-0.18827298815390386</v>
      </c>
      <c r="J445" s="3">
        <f t="shared" si="67"/>
        <v>-0.29722341922432566</v>
      </c>
      <c r="K445" s="3">
        <f t="shared" si="68"/>
        <v>-0.48692360562249604</v>
      </c>
      <c r="L445" s="3">
        <f t="shared" si="69"/>
        <v>0.87802834113631878</v>
      </c>
      <c r="M445" s="3">
        <f t="shared" si="70"/>
        <v>-1.4972901094107727</v>
      </c>
      <c r="N445" s="3">
        <f t="shared" si="71"/>
        <v>1.4896252544247224</v>
      </c>
      <c r="O445" s="3">
        <f t="shared" si="72"/>
        <v>6.486381315878377E-2</v>
      </c>
      <c r="P445" s="3">
        <f t="shared" si="73"/>
        <v>0.51621027021311006</v>
      </c>
      <c r="Q445" s="3">
        <f t="shared" si="74"/>
        <v>-0.6612410960933145</v>
      </c>
      <c r="R445" s="3">
        <f t="shared" si="76"/>
        <v>0.48378972978688994</v>
      </c>
    </row>
    <row r="446" spans="1:18" x14ac:dyDescent="0.3">
      <c r="A446" s="2">
        <v>442</v>
      </c>
      <c r="B446" s="2">
        <v>0</v>
      </c>
      <c r="C446" s="2">
        <v>39</v>
      </c>
      <c r="D446" s="2">
        <f t="shared" si="75"/>
        <v>1521</v>
      </c>
      <c r="E446" s="2">
        <v>77.115899999999996</v>
      </c>
      <c r="F446" s="2">
        <v>185.59450000000001</v>
      </c>
      <c r="G446" s="2">
        <v>0.33930500000000002</v>
      </c>
      <c r="H446" s="2">
        <v>6</v>
      </c>
      <c r="I446" s="3">
        <f t="shared" si="66"/>
        <v>1.6470445243130687</v>
      </c>
      <c r="J446" s="3">
        <f t="shared" si="67"/>
        <v>1.829310705690224</v>
      </c>
      <c r="K446" s="3">
        <f t="shared" si="68"/>
        <v>0.23467476945265606</v>
      </c>
      <c r="L446" s="3">
        <f t="shared" si="69"/>
        <v>0.59091913458022927</v>
      </c>
      <c r="M446" s="3">
        <f t="shared" si="70"/>
        <v>-0.52844614203108553</v>
      </c>
      <c r="N446" s="3">
        <f t="shared" si="71"/>
        <v>1.4896252544247224</v>
      </c>
      <c r="O446" s="3">
        <f t="shared" si="72"/>
        <v>1.998654942951086E-2</v>
      </c>
      <c r="P446" s="3">
        <f t="shared" si="73"/>
        <v>0.50499647103339329</v>
      </c>
      <c r="Q446" s="3">
        <f t="shared" si="74"/>
        <v>-0.70319038721339144</v>
      </c>
      <c r="R446" s="3">
        <f t="shared" si="76"/>
        <v>-0.50499647103339329</v>
      </c>
    </row>
    <row r="447" spans="1:18" x14ac:dyDescent="0.3">
      <c r="A447" s="2">
        <v>443</v>
      </c>
      <c r="B447" s="2">
        <v>1</v>
      </c>
      <c r="C447" s="2">
        <v>22</v>
      </c>
      <c r="D447" s="2">
        <f t="shared" si="75"/>
        <v>484</v>
      </c>
      <c r="E447" s="2">
        <v>85.910499999999999</v>
      </c>
      <c r="F447" s="2">
        <v>182.36580000000001</v>
      </c>
      <c r="G447" s="2">
        <v>0.50593200000000005</v>
      </c>
      <c r="H447" s="2">
        <v>5</v>
      </c>
      <c r="I447" s="3">
        <f t="shared" si="66"/>
        <v>-0.9529886183484757</v>
      </c>
      <c r="J447" s="3">
        <f t="shared" si="67"/>
        <v>-0.9550527886739022</v>
      </c>
      <c r="K447" s="3">
        <f t="shared" si="68"/>
        <v>1.1236807328113365</v>
      </c>
      <c r="L447" s="3">
        <f t="shared" si="69"/>
        <v>0.26442241183873361</v>
      </c>
      <c r="M447" s="3">
        <f t="shared" si="70"/>
        <v>5.3790407994792414E-2</v>
      </c>
      <c r="N447" s="3">
        <f t="shared" si="71"/>
        <v>0.90176998432814681</v>
      </c>
      <c r="O447" s="3">
        <f t="shared" si="72"/>
        <v>0.20732338064320738</v>
      </c>
      <c r="P447" s="3">
        <f t="shared" si="73"/>
        <v>0.55164598600028136</v>
      </c>
      <c r="Q447" s="3">
        <f t="shared" si="74"/>
        <v>-0.59484876815454457</v>
      </c>
      <c r="R447" s="3">
        <f t="shared" si="76"/>
        <v>0.44835401399971864</v>
      </c>
    </row>
    <row r="448" spans="1:18" x14ac:dyDescent="0.3">
      <c r="A448" s="2">
        <v>444</v>
      </c>
      <c r="B448" s="2">
        <v>1</v>
      </c>
      <c r="C448" s="2">
        <v>21</v>
      </c>
      <c r="D448" s="2">
        <f t="shared" si="75"/>
        <v>441</v>
      </c>
      <c r="E448" s="2">
        <v>73.892700000000005</v>
      </c>
      <c r="F448" s="2">
        <v>193.69710000000001</v>
      </c>
      <c r="G448" s="2">
        <v>0.16192300000000001</v>
      </c>
      <c r="H448" s="2">
        <v>6</v>
      </c>
      <c r="I448" s="3">
        <f t="shared" si="66"/>
        <v>-1.1059317443873902</v>
      </c>
      <c r="J448" s="3">
        <f t="shared" si="67"/>
        <v>-1.0705085555568892</v>
      </c>
      <c r="K448" s="3">
        <f t="shared" si="68"/>
        <v>-9.1143803432715692E-2</v>
      </c>
      <c r="L448" s="3">
        <f t="shared" si="69"/>
        <v>1.4102805945130934</v>
      </c>
      <c r="M448" s="3">
        <f t="shared" si="70"/>
        <v>-1.1482633608293014</v>
      </c>
      <c r="N448" s="3">
        <f t="shared" si="71"/>
        <v>1.4896252544247224</v>
      </c>
      <c r="O448" s="3">
        <f t="shared" si="72"/>
        <v>0.22527063568388017</v>
      </c>
      <c r="P448" s="3">
        <f t="shared" si="73"/>
        <v>0.55608069931780824</v>
      </c>
      <c r="Q448" s="3">
        <f t="shared" si="74"/>
        <v>-0.58684185260580268</v>
      </c>
      <c r="R448" s="3">
        <f t="shared" si="76"/>
        <v>0.44391930068219176</v>
      </c>
    </row>
    <row r="449" spans="1:18" x14ac:dyDescent="0.3">
      <c r="A449" s="2">
        <v>445</v>
      </c>
      <c r="B449" s="2">
        <v>1</v>
      </c>
      <c r="C449" s="2">
        <v>19</v>
      </c>
      <c r="D449" s="2">
        <f t="shared" si="75"/>
        <v>361</v>
      </c>
      <c r="E449" s="2">
        <v>84.328800000000001</v>
      </c>
      <c r="F449" s="2">
        <v>168.44370000000001</v>
      </c>
      <c r="G449" s="2">
        <v>0.65810199999999996</v>
      </c>
      <c r="H449" s="2">
        <v>4</v>
      </c>
      <c r="I449" s="3">
        <f t="shared" si="66"/>
        <v>-1.4118179964652189</v>
      </c>
      <c r="J449" s="3">
        <f t="shared" si="67"/>
        <v>-1.2853099823159346</v>
      </c>
      <c r="K449" s="3">
        <f t="shared" si="68"/>
        <v>0.96379390086395711</v>
      </c>
      <c r="L449" s="3">
        <f t="shared" si="69"/>
        <v>-1.1434259555163542</v>
      </c>
      <c r="M449" s="3">
        <f t="shared" si="70"/>
        <v>0.58551057229852344</v>
      </c>
      <c r="N449" s="3">
        <f t="shared" si="71"/>
        <v>0.31391471423157125</v>
      </c>
      <c r="O449" s="3">
        <f t="shared" si="72"/>
        <v>0.24060546822716403</v>
      </c>
      <c r="P449" s="3">
        <f t="shared" si="73"/>
        <v>0.55986285199493169</v>
      </c>
      <c r="Q449" s="3">
        <f t="shared" si="74"/>
        <v>-0.58006343239950375</v>
      </c>
      <c r="R449" s="3">
        <f t="shared" si="76"/>
        <v>0.44013714800506831</v>
      </c>
    </row>
    <row r="450" spans="1:18" x14ac:dyDescent="0.3">
      <c r="A450" s="2">
        <v>446</v>
      </c>
      <c r="B450" s="2">
        <v>0</v>
      </c>
      <c r="C450" s="2">
        <v>37</v>
      </c>
      <c r="D450" s="2">
        <f t="shared" si="75"/>
        <v>1369</v>
      </c>
      <c r="E450" s="2">
        <v>83.7316</v>
      </c>
      <c r="F450" s="2">
        <v>180.65270000000001</v>
      </c>
      <c r="G450" s="2">
        <v>0.997749</v>
      </c>
      <c r="H450" s="2">
        <v>5</v>
      </c>
      <c r="I450" s="3">
        <f t="shared" si="66"/>
        <v>1.34115827223524</v>
      </c>
      <c r="J450" s="3">
        <f t="shared" si="67"/>
        <v>1.4211879948480377</v>
      </c>
      <c r="K450" s="3">
        <f t="shared" si="68"/>
        <v>0.90342567930552309</v>
      </c>
      <c r="L450" s="3">
        <f t="shared" si="69"/>
        <v>9.1188126916487908E-2</v>
      </c>
      <c r="M450" s="3">
        <f t="shared" si="70"/>
        <v>1.7723224185577695</v>
      </c>
      <c r="N450" s="3">
        <f t="shared" si="71"/>
        <v>0.90176998432814681</v>
      </c>
      <c r="O450" s="3">
        <f t="shared" si="72"/>
        <v>-5.1203647044247728E-2</v>
      </c>
      <c r="P450" s="3">
        <f t="shared" si="73"/>
        <v>0.48720188430610473</v>
      </c>
      <c r="Q450" s="3">
        <f t="shared" si="74"/>
        <v>-0.66787304792631397</v>
      </c>
      <c r="R450" s="3">
        <f t="shared" si="76"/>
        <v>-0.48720188430610473</v>
      </c>
    </row>
    <row r="451" spans="1:18" x14ac:dyDescent="0.3">
      <c r="A451" s="2">
        <v>447</v>
      </c>
      <c r="B451" s="2">
        <v>1</v>
      </c>
      <c r="C451" s="2">
        <v>27</v>
      </c>
      <c r="D451" s="2">
        <f t="shared" si="75"/>
        <v>729</v>
      </c>
      <c r="E451" s="2">
        <v>56.356699999999996</v>
      </c>
      <c r="F451" s="2">
        <v>172.61199999999999</v>
      </c>
      <c r="G451" s="2">
        <v>0.451739</v>
      </c>
      <c r="H451" s="2">
        <v>2</v>
      </c>
      <c r="I451" s="3">
        <f t="shared" si="66"/>
        <v>-0.18827298815390386</v>
      </c>
      <c r="J451" s="3">
        <f t="shared" si="67"/>
        <v>-0.29722341922432566</v>
      </c>
      <c r="K451" s="3">
        <f t="shared" si="68"/>
        <v>-1.8637779850279927</v>
      </c>
      <c r="L451" s="3">
        <f t="shared" si="69"/>
        <v>-0.72191380220283152</v>
      </c>
      <c r="M451" s="3">
        <f t="shared" si="70"/>
        <v>-0.13557353275642092</v>
      </c>
      <c r="N451" s="3">
        <f t="shared" si="71"/>
        <v>-0.86179582596158</v>
      </c>
      <c r="O451" s="3">
        <f t="shared" si="72"/>
        <v>-8.7569489822963642E-2</v>
      </c>
      <c r="P451" s="3">
        <f t="shared" si="73"/>
        <v>0.47812160680858612</v>
      </c>
      <c r="Q451" s="3">
        <f t="shared" si="74"/>
        <v>-0.73789017129745071</v>
      </c>
      <c r="R451" s="3">
        <f t="shared" si="76"/>
        <v>0.52187839319141394</v>
      </c>
    </row>
    <row r="452" spans="1:18" x14ac:dyDescent="0.3">
      <c r="A452" s="2">
        <v>448</v>
      </c>
      <c r="B452" s="2">
        <v>1</v>
      </c>
      <c r="C452" s="2">
        <v>36</v>
      </c>
      <c r="D452" s="2">
        <f t="shared" si="75"/>
        <v>1296</v>
      </c>
      <c r="E452" s="2">
        <v>65.983999999999995</v>
      </c>
      <c r="F452" s="2">
        <v>188.89920000000001</v>
      </c>
      <c r="G452" s="2">
        <v>0.35472900000000002</v>
      </c>
      <c r="H452" s="2">
        <v>4</v>
      </c>
      <c r="I452" s="3">
        <f t="shared" si="66"/>
        <v>1.1882151461963255</v>
      </c>
      <c r="J452" s="3">
        <f t="shared" si="67"/>
        <v>1.2251816929304087</v>
      </c>
      <c r="K452" s="3">
        <f t="shared" si="68"/>
        <v>-0.89059818025653981</v>
      </c>
      <c r="L452" s="3">
        <f t="shared" si="69"/>
        <v>0.92510122633351033</v>
      </c>
      <c r="M452" s="3">
        <f t="shared" si="70"/>
        <v>-0.47455081565781387</v>
      </c>
      <c r="N452" s="3">
        <f t="shared" si="71"/>
        <v>0.31391471423157125</v>
      </c>
      <c r="O452" s="3">
        <f t="shared" si="72"/>
        <v>-4.9541764524972644E-2</v>
      </c>
      <c r="P452" s="3">
        <f t="shared" si="73"/>
        <v>0.48761709146871657</v>
      </c>
      <c r="Q452" s="3">
        <f t="shared" si="74"/>
        <v>-0.71822482975652902</v>
      </c>
      <c r="R452" s="3">
        <f t="shared" si="76"/>
        <v>0.51238290853128343</v>
      </c>
    </row>
    <row r="453" spans="1:18" x14ac:dyDescent="0.3">
      <c r="A453" s="2">
        <v>449</v>
      </c>
      <c r="B453" s="2">
        <v>1</v>
      </c>
      <c r="C453" s="2">
        <v>18</v>
      </c>
      <c r="D453" s="2">
        <f t="shared" si="75"/>
        <v>324</v>
      </c>
      <c r="E453" s="2">
        <v>59.381900000000002</v>
      </c>
      <c r="F453" s="2">
        <v>161.66659999999999</v>
      </c>
      <c r="G453" s="2">
        <v>0.400704</v>
      </c>
      <c r="H453" s="2">
        <v>1</v>
      </c>
      <c r="I453" s="3">
        <f t="shared" ref="I453:I516" si="77">(C453-$V$3)/$W$3</f>
        <v>-1.5647611225041334</v>
      </c>
      <c r="J453" s="3">
        <f t="shared" ref="J453:J516" si="78" xml:space="preserve"> (D453- $V$8)/$W$8</f>
        <v>-1.3846556421919931</v>
      </c>
      <c r="K453" s="3">
        <f t="shared" ref="K453:K516" si="79">(E453-$V$4)/$W$4</f>
        <v>-1.557974328198497</v>
      </c>
      <c r="L453" s="3">
        <f t="shared" ref="L453:L516" si="80">(F453-$V$5)/$W$5</f>
        <v>-1.8287485124870837</v>
      </c>
      <c r="M453" s="3">
        <f t="shared" ref="M453:M516" si="81">(G453-$V$6)/$W$6</f>
        <v>-0.31390262906476635</v>
      </c>
      <c r="N453" s="3">
        <f t="shared" ref="N453:N516" si="82">(H453-$V$7)/$W$7</f>
        <v>-1.4496510960581555</v>
      </c>
      <c r="O453" s="3">
        <f t="shared" ref="O453:O516" si="83">$V$11+$V$12*I453+$V$17*J453+$V$13*K453+$V$14*L453+$V$15*M453+$V$16*N453</f>
        <v>0.15673083951715416</v>
      </c>
      <c r="P453" s="3">
        <f t="shared" ref="P453:P516" si="84">1/(1+EXP(-O453))</f>
        <v>0.53910269759739027</v>
      </c>
      <c r="Q453" s="3">
        <f t="shared" ref="Q453:Q516" si="85">B453*LN(P453)+(1-B453)*LN(1-P453)</f>
        <v>-0.61784919264649318</v>
      </c>
      <c r="R453" s="3">
        <f t="shared" si="76"/>
        <v>0.46089730240260973</v>
      </c>
    </row>
    <row r="454" spans="1:18" x14ac:dyDescent="0.3">
      <c r="A454" s="2">
        <v>450</v>
      </c>
      <c r="B454" s="2">
        <v>1</v>
      </c>
      <c r="C454" s="2">
        <v>22</v>
      </c>
      <c r="D454" s="2">
        <f t="shared" ref="D454:D517" si="86">C454^2</f>
        <v>484</v>
      </c>
      <c r="E454" s="2">
        <v>95.017399999999995</v>
      </c>
      <c r="F454" s="2">
        <v>179.7192</v>
      </c>
      <c r="G454" s="2">
        <v>0.115146</v>
      </c>
      <c r="H454" s="2">
        <v>3</v>
      </c>
      <c r="I454" s="3">
        <f t="shared" si="77"/>
        <v>-0.9529886183484757</v>
      </c>
      <c r="J454" s="3">
        <f t="shared" si="78"/>
        <v>-0.9550527886739022</v>
      </c>
      <c r="K454" s="3">
        <f t="shared" si="79"/>
        <v>2.0442556774036045</v>
      </c>
      <c r="L454" s="3">
        <f t="shared" si="80"/>
        <v>-3.2104516690694231E-3</v>
      </c>
      <c r="M454" s="3">
        <f t="shared" si="81"/>
        <v>-1.3117139366697141</v>
      </c>
      <c r="N454" s="3">
        <f t="shared" si="82"/>
        <v>-0.27394055586500432</v>
      </c>
      <c r="O454" s="3">
        <f t="shared" si="83"/>
        <v>0.33590127964137506</v>
      </c>
      <c r="P454" s="3">
        <f t="shared" si="84"/>
        <v>0.583194552468012</v>
      </c>
      <c r="Q454" s="3">
        <f t="shared" si="85"/>
        <v>-0.53923443909261015</v>
      </c>
      <c r="R454" s="3">
        <f t="shared" ref="R454:R517" si="87">B454-P454</f>
        <v>0.416805447531988</v>
      </c>
    </row>
    <row r="455" spans="1:18" x14ac:dyDescent="0.3">
      <c r="A455" s="2">
        <v>451</v>
      </c>
      <c r="B455" s="2">
        <v>0</v>
      </c>
      <c r="C455" s="2">
        <v>30</v>
      </c>
      <c r="D455" s="2">
        <f t="shared" si="86"/>
        <v>900</v>
      </c>
      <c r="E455" s="2">
        <v>73.946100000000001</v>
      </c>
      <c r="F455" s="2">
        <v>183.35239999999999</v>
      </c>
      <c r="G455" s="2">
        <v>0.883274</v>
      </c>
      <c r="H455" s="2">
        <v>2</v>
      </c>
      <c r="I455" s="3">
        <f t="shared" si="77"/>
        <v>0.27055638996283926</v>
      </c>
      <c r="J455" s="3">
        <f t="shared" si="78"/>
        <v>0.16191463047313392</v>
      </c>
      <c r="K455" s="3">
        <f t="shared" si="79"/>
        <v>-8.5745841223706737E-2</v>
      </c>
      <c r="L455" s="3">
        <f t="shared" si="80"/>
        <v>0.3641906364048913</v>
      </c>
      <c r="M455" s="3">
        <f t="shared" si="81"/>
        <v>1.3723180431311435</v>
      </c>
      <c r="N455" s="3">
        <f t="shared" si="82"/>
        <v>-0.86179582596158</v>
      </c>
      <c r="O455" s="3">
        <f t="shared" si="83"/>
        <v>-4.9698953801358636E-2</v>
      </c>
      <c r="P455" s="3">
        <f t="shared" si="84"/>
        <v>0.48757781832898606</v>
      </c>
      <c r="Q455" s="3">
        <f t="shared" si="85"/>
        <v>-0.66860642014045513</v>
      </c>
      <c r="R455" s="3">
        <f t="shared" si="87"/>
        <v>-0.48757781832898606</v>
      </c>
    </row>
    <row r="456" spans="1:18" x14ac:dyDescent="0.3">
      <c r="A456" s="2">
        <v>452</v>
      </c>
      <c r="B456" s="2">
        <v>1</v>
      </c>
      <c r="C456" s="2">
        <v>21</v>
      </c>
      <c r="D456" s="2">
        <f t="shared" si="86"/>
        <v>441</v>
      </c>
      <c r="E456" s="2">
        <v>92.808300000000003</v>
      </c>
      <c r="F456" s="2">
        <v>170.52510000000001</v>
      </c>
      <c r="G456" s="2">
        <v>0.41482599999999997</v>
      </c>
      <c r="H456" s="2">
        <v>2</v>
      </c>
      <c r="I456" s="3">
        <f t="shared" si="77"/>
        <v>-1.1059317443873902</v>
      </c>
      <c r="J456" s="3">
        <f t="shared" si="78"/>
        <v>-1.0705085555568892</v>
      </c>
      <c r="K456" s="3">
        <f t="shared" si="79"/>
        <v>1.8209478437720974</v>
      </c>
      <c r="L456" s="3">
        <f t="shared" si="80"/>
        <v>-0.93294796786988698</v>
      </c>
      <c r="M456" s="3">
        <f t="shared" si="81"/>
        <v>-0.26455681740479875</v>
      </c>
      <c r="N456" s="3">
        <f t="shared" si="82"/>
        <v>-0.86179582596158</v>
      </c>
      <c r="O456" s="3">
        <f t="shared" si="83"/>
        <v>0.29154433211119357</v>
      </c>
      <c r="P456" s="3">
        <f t="shared" si="84"/>
        <v>0.57237416889418569</v>
      </c>
      <c r="Q456" s="3">
        <f t="shared" si="85"/>
        <v>-0.55796236003618171</v>
      </c>
      <c r="R456" s="3">
        <f t="shared" si="87"/>
        <v>0.42762583110581431</v>
      </c>
    </row>
    <row r="457" spans="1:18" x14ac:dyDescent="0.3">
      <c r="A457" s="2">
        <v>453</v>
      </c>
      <c r="B457" s="2">
        <v>0</v>
      </c>
      <c r="C457" s="2">
        <v>33</v>
      </c>
      <c r="D457" s="2">
        <f t="shared" si="86"/>
        <v>1089</v>
      </c>
      <c r="E457" s="2">
        <v>58.670499999999997</v>
      </c>
      <c r="F457" s="2">
        <v>173.7381</v>
      </c>
      <c r="G457" s="2">
        <v>0.38727400000000001</v>
      </c>
      <c r="H457" s="2">
        <v>2</v>
      </c>
      <c r="I457" s="3">
        <f t="shared" si="77"/>
        <v>0.72938576807958244</v>
      </c>
      <c r="J457" s="3">
        <f t="shared" si="78"/>
        <v>0.66938300119137872</v>
      </c>
      <c r="K457" s="3">
        <f t="shared" si="79"/>
        <v>-1.6298865063911798</v>
      </c>
      <c r="L457" s="3">
        <f t="shared" si="80"/>
        <v>-0.60803888056898492</v>
      </c>
      <c r="M457" s="3">
        <f t="shared" si="81"/>
        <v>-0.36083041907987518</v>
      </c>
      <c r="N457" s="3">
        <f t="shared" si="82"/>
        <v>-0.86179582596158</v>
      </c>
      <c r="O457" s="3">
        <f t="shared" si="83"/>
        <v>-0.1204596199283369</v>
      </c>
      <c r="P457" s="3">
        <f t="shared" si="84"/>
        <v>0.46992145749931252</v>
      </c>
      <c r="Q457" s="3">
        <f t="shared" si="85"/>
        <v>-0.63473009001800273</v>
      </c>
      <c r="R457" s="3">
        <f t="shared" si="87"/>
        <v>-0.46992145749931252</v>
      </c>
    </row>
    <row r="458" spans="1:18" x14ac:dyDescent="0.3">
      <c r="A458" s="2">
        <v>454</v>
      </c>
      <c r="B458" s="2">
        <v>1</v>
      </c>
      <c r="C458" s="2">
        <v>33</v>
      </c>
      <c r="D458" s="2">
        <f t="shared" si="86"/>
        <v>1089</v>
      </c>
      <c r="E458" s="2">
        <v>69.272300000000001</v>
      </c>
      <c r="F458" s="2">
        <v>180.15379999999999</v>
      </c>
      <c r="G458" s="2">
        <v>0.65969</v>
      </c>
      <c r="H458" s="2">
        <v>4</v>
      </c>
      <c r="I458" s="3">
        <f t="shared" si="77"/>
        <v>0.72938576807958244</v>
      </c>
      <c r="J458" s="3">
        <f t="shared" si="78"/>
        <v>0.66938300119137872</v>
      </c>
      <c r="K458" s="3">
        <f t="shared" si="79"/>
        <v>-0.55819894557703709</v>
      </c>
      <c r="L458" s="3">
        <f t="shared" si="80"/>
        <v>4.0737724285169211E-2</v>
      </c>
      <c r="M458" s="3">
        <f t="shared" si="81"/>
        <v>0.59105944277834432</v>
      </c>
      <c r="N458" s="3">
        <f t="shared" si="82"/>
        <v>0.31391471423157125</v>
      </c>
      <c r="O458" s="3">
        <f t="shared" si="83"/>
        <v>-9.2013880865798828E-2</v>
      </c>
      <c r="P458" s="3">
        <f t="shared" si="84"/>
        <v>0.47701274606483879</v>
      </c>
      <c r="Q458" s="3">
        <f t="shared" si="85"/>
        <v>-0.74021206714086907</v>
      </c>
      <c r="R458" s="3">
        <f t="shared" si="87"/>
        <v>0.52298725393516121</v>
      </c>
    </row>
    <row r="459" spans="1:18" x14ac:dyDescent="0.3">
      <c r="A459" s="2">
        <v>455</v>
      </c>
      <c r="B459" s="2">
        <v>0</v>
      </c>
      <c r="C459" s="2">
        <v>19</v>
      </c>
      <c r="D459" s="2">
        <f t="shared" si="86"/>
        <v>361</v>
      </c>
      <c r="E459" s="2">
        <v>83.004999999999995</v>
      </c>
      <c r="F459" s="2">
        <v>189.55099999999999</v>
      </c>
      <c r="G459" s="2">
        <v>0.44203300000000001</v>
      </c>
      <c r="H459" s="2">
        <v>1</v>
      </c>
      <c r="I459" s="3">
        <f t="shared" si="77"/>
        <v>-1.4118179964652189</v>
      </c>
      <c r="J459" s="3">
        <f t="shared" si="78"/>
        <v>-1.2853099823159346</v>
      </c>
      <c r="K459" s="3">
        <f t="shared" si="79"/>
        <v>0.82997700250653028</v>
      </c>
      <c r="L459" s="3">
        <f t="shared" si="80"/>
        <v>0.99101337793722089</v>
      </c>
      <c r="M459" s="3">
        <f t="shared" si="81"/>
        <v>-0.16948873230121958</v>
      </c>
      <c r="N459" s="3">
        <f t="shared" si="82"/>
        <v>-1.4496510960581555</v>
      </c>
      <c r="O459" s="3">
        <f t="shared" si="83"/>
        <v>0.33798566848002792</v>
      </c>
      <c r="P459" s="3">
        <f t="shared" si="84"/>
        <v>0.58370113489748598</v>
      </c>
      <c r="Q459" s="3">
        <f t="shared" si="85"/>
        <v>-0.87635185093790424</v>
      </c>
      <c r="R459" s="3">
        <f t="shared" si="87"/>
        <v>-0.58370113489748598</v>
      </c>
    </row>
    <row r="460" spans="1:18" x14ac:dyDescent="0.3">
      <c r="A460" s="2">
        <v>456</v>
      </c>
      <c r="B460" s="2">
        <v>0</v>
      </c>
      <c r="C460" s="2">
        <v>34</v>
      </c>
      <c r="D460" s="2">
        <f t="shared" si="86"/>
        <v>1156</v>
      </c>
      <c r="E460" s="2">
        <v>76.792699999999996</v>
      </c>
      <c r="F460" s="2">
        <v>169.6713</v>
      </c>
      <c r="G460" s="2">
        <v>0.64823299999999995</v>
      </c>
      <c r="H460" s="2">
        <v>5</v>
      </c>
      <c r="I460" s="3">
        <f t="shared" si="77"/>
        <v>0.8823288941184968</v>
      </c>
      <c r="J460" s="3">
        <f t="shared" si="78"/>
        <v>0.84927919610207925</v>
      </c>
      <c r="K460" s="3">
        <f t="shared" si="79"/>
        <v>0.20200395698164822</v>
      </c>
      <c r="L460" s="3">
        <f t="shared" si="80"/>
        <v>-1.0192870213207157</v>
      </c>
      <c r="M460" s="3">
        <f t="shared" si="81"/>
        <v>0.5510258098518287</v>
      </c>
      <c r="N460" s="3">
        <f t="shared" si="82"/>
        <v>0.90176998432814681</v>
      </c>
      <c r="O460" s="3">
        <f t="shared" si="83"/>
        <v>-7.5874882739444566E-2</v>
      </c>
      <c r="P460" s="3">
        <f t="shared" si="84"/>
        <v>0.4810403743195022</v>
      </c>
      <c r="Q460" s="3">
        <f t="shared" si="85"/>
        <v>-0.65592919136536931</v>
      </c>
      <c r="R460" s="3">
        <f t="shared" si="87"/>
        <v>-0.4810403743195022</v>
      </c>
    </row>
    <row r="461" spans="1:18" x14ac:dyDescent="0.3">
      <c r="A461" s="2">
        <v>457</v>
      </c>
      <c r="B461" s="2">
        <v>1</v>
      </c>
      <c r="C461" s="2">
        <v>37</v>
      </c>
      <c r="D461" s="2">
        <f t="shared" si="86"/>
        <v>1369</v>
      </c>
      <c r="E461" s="2">
        <v>80.328599999999994</v>
      </c>
      <c r="F461" s="2">
        <v>171.41550000000001</v>
      </c>
      <c r="G461" s="2">
        <v>6.1446000000000001E-2</v>
      </c>
      <c r="H461" s="2">
        <v>1</v>
      </c>
      <c r="I461" s="3">
        <f t="shared" si="77"/>
        <v>1.34115827223524</v>
      </c>
      <c r="J461" s="3">
        <f t="shared" si="78"/>
        <v>1.4211879948480377</v>
      </c>
      <c r="K461" s="3">
        <f t="shared" si="79"/>
        <v>0.55943194527445927</v>
      </c>
      <c r="L461" s="3">
        <f t="shared" si="80"/>
        <v>-0.84290780250022501</v>
      </c>
      <c r="M461" s="3">
        <f t="shared" si="81"/>
        <v>-1.4993552117115119</v>
      </c>
      <c r="N461" s="3">
        <f t="shared" si="82"/>
        <v>-1.4496510960581555</v>
      </c>
      <c r="O461" s="3">
        <f t="shared" si="83"/>
        <v>7.643099699942299E-2</v>
      </c>
      <c r="P461" s="3">
        <f t="shared" si="84"/>
        <v>0.51909845287320933</v>
      </c>
      <c r="Q461" s="3">
        <f t="shared" si="85"/>
        <v>-0.65566171655561178</v>
      </c>
      <c r="R461" s="3">
        <f t="shared" si="87"/>
        <v>0.48090154712679067</v>
      </c>
    </row>
    <row r="462" spans="1:18" x14ac:dyDescent="0.3">
      <c r="A462" s="2">
        <v>458</v>
      </c>
      <c r="B462" s="2">
        <v>1</v>
      </c>
      <c r="C462" s="2">
        <v>29</v>
      </c>
      <c r="D462" s="2">
        <f t="shared" si="86"/>
        <v>841</v>
      </c>
      <c r="E462" s="2">
        <v>62.4619</v>
      </c>
      <c r="F462" s="2">
        <v>191.2559</v>
      </c>
      <c r="G462" s="2">
        <v>0.81372299999999997</v>
      </c>
      <c r="H462" s="2">
        <v>4</v>
      </c>
      <c r="I462" s="3">
        <f t="shared" si="77"/>
        <v>0.1176132639239249</v>
      </c>
      <c r="J462" s="3">
        <f t="shared" si="78"/>
        <v>3.4985782383379449E-3</v>
      </c>
      <c r="K462" s="3">
        <f t="shared" si="79"/>
        <v>-1.2466311895515165</v>
      </c>
      <c r="L462" s="3">
        <f t="shared" si="80"/>
        <v>1.1634184519924067</v>
      </c>
      <c r="M462" s="3">
        <f t="shared" si="81"/>
        <v>1.1292893965681625</v>
      </c>
      <c r="N462" s="3">
        <f t="shared" si="82"/>
        <v>0.31391471423157125</v>
      </c>
      <c r="O462" s="3">
        <f t="shared" si="83"/>
        <v>-0.1022107734837026</v>
      </c>
      <c r="P462" s="3">
        <f t="shared" si="84"/>
        <v>0.47446952925216013</v>
      </c>
      <c r="Q462" s="3">
        <f t="shared" si="85"/>
        <v>-0.74555787953330255</v>
      </c>
      <c r="R462" s="3">
        <f t="shared" si="87"/>
        <v>0.52553047074783987</v>
      </c>
    </row>
    <row r="463" spans="1:18" x14ac:dyDescent="0.3">
      <c r="A463" s="2">
        <v>459</v>
      </c>
      <c r="B463" s="2">
        <v>0</v>
      </c>
      <c r="C463" s="2">
        <v>35</v>
      </c>
      <c r="D463" s="2">
        <f t="shared" si="86"/>
        <v>1225</v>
      </c>
      <c r="E463" s="2">
        <v>88.768000000000001</v>
      </c>
      <c r="F463" s="2">
        <v>177.27019999999999</v>
      </c>
      <c r="G463" s="2">
        <v>0.94050400000000001</v>
      </c>
      <c r="H463" s="2">
        <v>2</v>
      </c>
      <c r="I463" s="3">
        <f t="shared" si="77"/>
        <v>1.0352720201574113</v>
      </c>
      <c r="J463" s="3">
        <f t="shared" si="78"/>
        <v>1.034545426681756</v>
      </c>
      <c r="K463" s="3">
        <f t="shared" si="79"/>
        <v>1.4125323622541117</v>
      </c>
      <c r="L463" s="3">
        <f t="shared" si="80"/>
        <v>-0.25086135574622931</v>
      </c>
      <c r="M463" s="3">
        <f t="shared" si="81"/>
        <v>1.5722940239624674</v>
      </c>
      <c r="N463" s="3">
        <f t="shared" si="82"/>
        <v>-0.86179582596158</v>
      </c>
      <c r="O463" s="3">
        <f t="shared" si="83"/>
        <v>1.9769638049560567E-3</v>
      </c>
      <c r="P463" s="3">
        <f t="shared" si="84"/>
        <v>0.50049424079026539</v>
      </c>
      <c r="Q463" s="3">
        <f t="shared" si="85"/>
        <v>-0.69413615101057957</v>
      </c>
      <c r="R463" s="3">
        <f t="shared" si="87"/>
        <v>-0.50049424079026539</v>
      </c>
    </row>
    <row r="464" spans="1:18" x14ac:dyDescent="0.3">
      <c r="A464" s="2">
        <v>460</v>
      </c>
      <c r="B464" s="2">
        <v>1</v>
      </c>
      <c r="C464" s="2">
        <v>20</v>
      </c>
      <c r="D464" s="2">
        <f t="shared" si="86"/>
        <v>400</v>
      </c>
      <c r="E464" s="2">
        <v>82.770200000000003</v>
      </c>
      <c r="F464" s="2">
        <v>172.22460000000001</v>
      </c>
      <c r="G464" s="2">
        <v>0.64876500000000004</v>
      </c>
      <c r="H464" s="2">
        <v>3</v>
      </c>
      <c r="I464" s="3">
        <f t="shared" si="77"/>
        <v>-1.2588748704263044</v>
      </c>
      <c r="J464" s="3">
        <f t="shared" si="78"/>
        <v>-1.1805942867708998</v>
      </c>
      <c r="K464" s="3">
        <f t="shared" si="79"/>
        <v>0.80624214245643011</v>
      </c>
      <c r="L464" s="3">
        <f t="shared" si="80"/>
        <v>-0.76108895950764466</v>
      </c>
      <c r="M464" s="3">
        <f t="shared" si="81"/>
        <v>0.55288475134758763</v>
      </c>
      <c r="N464" s="3">
        <f t="shared" si="82"/>
        <v>-0.27394055586500432</v>
      </c>
      <c r="O464" s="3">
        <f t="shared" si="83"/>
        <v>0.21633137186702506</v>
      </c>
      <c r="P464" s="3">
        <f t="shared" si="84"/>
        <v>0.55387290563973235</v>
      </c>
      <c r="Q464" s="3">
        <f t="shared" si="85"/>
        <v>-0.59082003075650713</v>
      </c>
      <c r="R464" s="3">
        <f t="shared" si="87"/>
        <v>0.44612709436026765</v>
      </c>
    </row>
    <row r="465" spans="1:18" x14ac:dyDescent="0.3">
      <c r="A465" s="2">
        <v>461</v>
      </c>
      <c r="B465" s="2">
        <v>1</v>
      </c>
      <c r="C465" s="2">
        <v>18</v>
      </c>
      <c r="D465" s="2">
        <f t="shared" si="86"/>
        <v>324</v>
      </c>
      <c r="E465" s="2">
        <v>79.016300000000001</v>
      </c>
      <c r="F465" s="2">
        <v>187.2868</v>
      </c>
      <c r="G465" s="2">
        <v>0.95456600000000003</v>
      </c>
      <c r="H465" s="2">
        <v>2</v>
      </c>
      <c r="I465" s="3">
        <f t="shared" si="77"/>
        <v>-1.5647611225041334</v>
      </c>
      <c r="J465" s="3">
        <f t="shared" si="78"/>
        <v>-1.3846556421919931</v>
      </c>
      <c r="K465" s="3">
        <f t="shared" si="79"/>
        <v>0.42677752941522856</v>
      </c>
      <c r="L465" s="3">
        <f t="shared" si="80"/>
        <v>0.76205005535188008</v>
      </c>
      <c r="M465" s="3">
        <f t="shared" si="81"/>
        <v>1.6214301805665225</v>
      </c>
      <c r="N465" s="3">
        <f t="shared" si="82"/>
        <v>-0.86179582596158</v>
      </c>
      <c r="O465" s="3">
        <f t="shared" si="83"/>
        <v>0.25644978380983219</v>
      </c>
      <c r="P465" s="3">
        <f t="shared" si="84"/>
        <v>0.56376337063215831</v>
      </c>
      <c r="Q465" s="3">
        <f t="shared" si="85"/>
        <v>-0.57312067113890197</v>
      </c>
      <c r="R465" s="3">
        <f t="shared" si="87"/>
        <v>0.43623662936784169</v>
      </c>
    </row>
    <row r="466" spans="1:18" x14ac:dyDescent="0.3">
      <c r="A466" s="2">
        <v>462</v>
      </c>
      <c r="B466" s="2">
        <v>1</v>
      </c>
      <c r="C466" s="2">
        <v>18</v>
      </c>
      <c r="D466" s="2">
        <f t="shared" si="86"/>
        <v>324</v>
      </c>
      <c r="E466" s="2">
        <v>68.143900000000002</v>
      </c>
      <c r="F466" s="2">
        <v>175.11799999999999</v>
      </c>
      <c r="G466" s="2">
        <v>0.15143200000000001</v>
      </c>
      <c r="H466" s="2">
        <v>5</v>
      </c>
      <c r="I466" s="3">
        <f t="shared" si="77"/>
        <v>-1.5647611225041334</v>
      </c>
      <c r="J466" s="3">
        <f t="shared" si="78"/>
        <v>-1.3846556421919931</v>
      </c>
      <c r="K466" s="3">
        <f t="shared" si="79"/>
        <v>-0.6722637500086126</v>
      </c>
      <c r="L466" s="3">
        <f t="shared" si="80"/>
        <v>-0.46849887136683327</v>
      </c>
      <c r="M466" s="3">
        <f t="shared" si="81"/>
        <v>-1.1849215473556234</v>
      </c>
      <c r="N466" s="3">
        <f t="shared" si="82"/>
        <v>0.90176998432814681</v>
      </c>
      <c r="O466" s="3">
        <f t="shared" si="83"/>
        <v>0.25055471328202528</v>
      </c>
      <c r="P466" s="3">
        <f t="shared" si="84"/>
        <v>0.56231303001824318</v>
      </c>
      <c r="Q466" s="3">
        <f t="shared" si="85"/>
        <v>-0.5756965912363996</v>
      </c>
      <c r="R466" s="3">
        <f t="shared" si="87"/>
        <v>0.43768696998175682</v>
      </c>
    </row>
    <row r="467" spans="1:18" x14ac:dyDescent="0.3">
      <c r="A467" s="2">
        <v>463</v>
      </c>
      <c r="B467" s="2">
        <v>0</v>
      </c>
      <c r="C467" s="2">
        <v>36</v>
      </c>
      <c r="D467" s="2">
        <f t="shared" si="86"/>
        <v>1296</v>
      </c>
      <c r="E467" s="2">
        <v>78.238</v>
      </c>
      <c r="F467" s="2">
        <v>190.27420000000001</v>
      </c>
      <c r="G467" s="2">
        <v>0.47741600000000001</v>
      </c>
      <c r="H467" s="2">
        <v>6</v>
      </c>
      <c r="I467" s="3">
        <f t="shared" si="77"/>
        <v>1.1882151461963255</v>
      </c>
      <c r="J467" s="3">
        <f t="shared" si="78"/>
        <v>1.2251816929304087</v>
      </c>
      <c r="K467" s="3">
        <f t="shared" si="79"/>
        <v>0.3481027356460904</v>
      </c>
      <c r="L467" s="3">
        <f t="shared" si="80"/>
        <v>1.0641457314809555</v>
      </c>
      <c r="M467" s="3">
        <f t="shared" si="81"/>
        <v>-4.5851651578613796E-2</v>
      </c>
      <c r="N467" s="3">
        <f t="shared" si="82"/>
        <v>1.4896252544247224</v>
      </c>
      <c r="O467" s="3">
        <f t="shared" si="83"/>
        <v>2.7421487559360289E-4</v>
      </c>
      <c r="P467" s="3">
        <f t="shared" si="84"/>
        <v>0.50006855371846881</v>
      </c>
      <c r="Q467" s="3">
        <f t="shared" si="85"/>
        <v>-0.69328429739696684</v>
      </c>
      <c r="R467" s="3">
        <f t="shared" si="87"/>
        <v>-0.50006855371846881</v>
      </c>
    </row>
    <row r="468" spans="1:18" x14ac:dyDescent="0.3">
      <c r="A468" s="2">
        <v>464</v>
      </c>
      <c r="B468" s="2">
        <v>1</v>
      </c>
      <c r="C468" s="2">
        <v>28</v>
      </c>
      <c r="D468" s="2">
        <f t="shared" si="86"/>
        <v>784</v>
      </c>
      <c r="E468" s="2">
        <v>72.085099999999997</v>
      </c>
      <c r="F468" s="2">
        <v>173.36279999999999</v>
      </c>
      <c r="G468" s="2">
        <v>0.60180699999999998</v>
      </c>
      <c r="H468" s="2">
        <v>3</v>
      </c>
      <c r="I468" s="3">
        <f t="shared" si="77"/>
        <v>-3.5329862114989473E-2</v>
      </c>
      <c r="J468" s="3">
        <f t="shared" si="78"/>
        <v>-0.14954743832748191</v>
      </c>
      <c r="K468" s="3">
        <f t="shared" si="79"/>
        <v>-0.27386583506202883</v>
      </c>
      <c r="L468" s="3">
        <f t="shared" si="80"/>
        <v>-0.6459904462285031</v>
      </c>
      <c r="M468" s="3">
        <f t="shared" si="81"/>
        <v>0.38880171608850472</v>
      </c>
      <c r="N468" s="3">
        <f t="shared" si="82"/>
        <v>-0.27394055586500432</v>
      </c>
      <c r="O468" s="3">
        <f t="shared" si="83"/>
        <v>-2.7447132646826664E-2</v>
      </c>
      <c r="P468" s="3">
        <f t="shared" si="84"/>
        <v>0.49313864758006509</v>
      </c>
      <c r="Q468" s="3">
        <f t="shared" si="85"/>
        <v>-0.7069649120639443</v>
      </c>
      <c r="R468" s="3">
        <f t="shared" si="87"/>
        <v>0.50686135241993491</v>
      </c>
    </row>
    <row r="469" spans="1:18" x14ac:dyDescent="0.3">
      <c r="A469" s="2">
        <v>465</v>
      </c>
      <c r="B469" s="2">
        <v>1</v>
      </c>
      <c r="C469" s="2">
        <v>22</v>
      </c>
      <c r="D469" s="2">
        <f t="shared" si="86"/>
        <v>484</v>
      </c>
      <c r="E469" s="2">
        <v>58.495100000000001</v>
      </c>
      <c r="F469" s="2">
        <v>178.4041</v>
      </c>
      <c r="G469" s="2">
        <v>0.58173699999999995</v>
      </c>
      <c r="H469" s="2">
        <v>2</v>
      </c>
      <c r="I469" s="3">
        <f t="shared" si="77"/>
        <v>-0.9529886183484757</v>
      </c>
      <c r="J469" s="3">
        <f t="shared" si="78"/>
        <v>-0.9550527886739022</v>
      </c>
      <c r="K469" s="3">
        <f t="shared" si="79"/>
        <v>-1.6476168916245173</v>
      </c>
      <c r="L469" s="3">
        <f t="shared" si="80"/>
        <v>-0.13619767255590959</v>
      </c>
      <c r="M469" s="3">
        <f t="shared" si="81"/>
        <v>0.31867209988573214</v>
      </c>
      <c r="N469" s="3">
        <f t="shared" si="82"/>
        <v>-0.86179582596158</v>
      </c>
      <c r="O469" s="3">
        <f t="shared" si="83"/>
        <v>2.9689033266013319E-2</v>
      </c>
      <c r="P469" s="3">
        <f t="shared" si="84"/>
        <v>0.50742171317574625</v>
      </c>
      <c r="Q469" s="3">
        <f t="shared" si="85"/>
        <v>-0.67841283971767807</v>
      </c>
      <c r="R469" s="3">
        <f t="shared" si="87"/>
        <v>0.49257828682425375</v>
      </c>
    </row>
    <row r="470" spans="1:18" x14ac:dyDescent="0.3">
      <c r="A470" s="2">
        <v>466</v>
      </c>
      <c r="B470" s="2">
        <v>1</v>
      </c>
      <c r="C470" s="2">
        <v>29</v>
      </c>
      <c r="D470" s="2">
        <f t="shared" si="86"/>
        <v>841</v>
      </c>
      <c r="E470" s="2">
        <v>74.495800000000003</v>
      </c>
      <c r="F470" s="2">
        <v>189.44970000000001</v>
      </c>
      <c r="G470" s="2">
        <v>0.40146199999999999</v>
      </c>
      <c r="H470" s="2">
        <v>3</v>
      </c>
      <c r="I470" s="3">
        <f t="shared" si="77"/>
        <v>0.1176132639239249</v>
      </c>
      <c r="J470" s="3">
        <f t="shared" si="78"/>
        <v>3.4985782383379449E-3</v>
      </c>
      <c r="K470" s="3">
        <f t="shared" si="79"/>
        <v>-3.0179177809990614E-2</v>
      </c>
      <c r="L470" s="3">
        <f t="shared" si="80"/>
        <v>0.98076959003072384</v>
      </c>
      <c r="M470" s="3">
        <f t="shared" si="81"/>
        <v>-0.31125398685840361</v>
      </c>
      <c r="N470" s="3">
        <f t="shared" si="82"/>
        <v>-0.27394055586500432</v>
      </c>
      <c r="O470" s="3">
        <f t="shared" si="83"/>
        <v>4.2726097295268071E-2</v>
      </c>
      <c r="P470" s="3">
        <f t="shared" si="84"/>
        <v>0.51067989967625149</v>
      </c>
      <c r="Q470" s="3">
        <f t="shared" si="85"/>
        <v>-0.67201230448130356</v>
      </c>
      <c r="R470" s="3">
        <f t="shared" si="87"/>
        <v>0.48932010032374851</v>
      </c>
    </row>
    <row r="471" spans="1:18" x14ac:dyDescent="0.3">
      <c r="A471" s="2">
        <v>467</v>
      </c>
      <c r="B471" s="2">
        <v>0</v>
      </c>
      <c r="C471" s="2">
        <v>20</v>
      </c>
      <c r="D471" s="2">
        <f t="shared" si="86"/>
        <v>400</v>
      </c>
      <c r="E471" s="2">
        <v>73.432699999999997</v>
      </c>
      <c r="F471" s="2">
        <v>177.73740000000001</v>
      </c>
      <c r="G471" s="2">
        <v>0.338084</v>
      </c>
      <c r="H471" s="2">
        <v>6</v>
      </c>
      <c r="I471" s="3">
        <f t="shared" si="77"/>
        <v>-1.2588748704263044</v>
      </c>
      <c r="J471" s="3">
        <f t="shared" si="78"/>
        <v>-1.1805942867708998</v>
      </c>
      <c r="K471" s="3">
        <f t="shared" si="79"/>
        <v>-0.1376431033605123</v>
      </c>
      <c r="L471" s="3">
        <f t="shared" si="80"/>
        <v>-0.20361656097903721</v>
      </c>
      <c r="M471" s="3">
        <f t="shared" si="81"/>
        <v>-0.53271262241890749</v>
      </c>
      <c r="N471" s="3">
        <f t="shared" si="82"/>
        <v>1.4896252544247224</v>
      </c>
      <c r="O471" s="3">
        <f t="shared" si="83"/>
        <v>0.18891891415800022</v>
      </c>
      <c r="P471" s="3">
        <f t="shared" si="84"/>
        <v>0.54708975759362843</v>
      </c>
      <c r="Q471" s="3">
        <f t="shared" si="85"/>
        <v>-0.79206131351478781</v>
      </c>
      <c r="R471" s="3">
        <f t="shared" si="87"/>
        <v>-0.54708975759362843</v>
      </c>
    </row>
    <row r="472" spans="1:18" x14ac:dyDescent="0.3">
      <c r="A472" s="2">
        <v>468</v>
      </c>
      <c r="B472" s="2">
        <v>1</v>
      </c>
      <c r="C472" s="2">
        <v>18</v>
      </c>
      <c r="D472" s="2">
        <f t="shared" si="86"/>
        <v>324</v>
      </c>
      <c r="E472" s="2">
        <v>85.623999999999995</v>
      </c>
      <c r="F472" s="2">
        <v>187.56049999999999</v>
      </c>
      <c r="G472" s="2">
        <v>0.12682399999999999</v>
      </c>
      <c r="H472" s="2">
        <v>1</v>
      </c>
      <c r="I472" s="3">
        <f t="shared" si="77"/>
        <v>-1.5647611225041334</v>
      </c>
      <c r="J472" s="3">
        <f t="shared" si="78"/>
        <v>-1.3846556421919931</v>
      </c>
      <c r="K472" s="3">
        <f t="shared" si="79"/>
        <v>1.0947197557910895</v>
      </c>
      <c r="L472" s="3">
        <f t="shared" si="80"/>
        <v>0.78972749612195603</v>
      </c>
      <c r="M472" s="3">
        <f t="shared" si="81"/>
        <v>-1.2709080742872538</v>
      </c>
      <c r="N472" s="3">
        <f t="shared" si="82"/>
        <v>-1.4496510960581555</v>
      </c>
      <c r="O472" s="3">
        <f t="shared" si="83"/>
        <v>0.43200398763797249</v>
      </c>
      <c r="P472" s="3">
        <f t="shared" si="84"/>
        <v>0.60635210050673449</v>
      </c>
      <c r="Q472" s="3">
        <f t="shared" si="85"/>
        <v>-0.50029443770337145</v>
      </c>
      <c r="R472" s="3">
        <f t="shared" si="87"/>
        <v>0.39364789949326551</v>
      </c>
    </row>
    <row r="473" spans="1:18" x14ac:dyDescent="0.3">
      <c r="A473" s="2">
        <v>469</v>
      </c>
      <c r="B473" s="2">
        <v>0</v>
      </c>
      <c r="C473" s="2">
        <v>18</v>
      </c>
      <c r="D473" s="2">
        <f t="shared" si="86"/>
        <v>324</v>
      </c>
      <c r="E473" s="2">
        <v>52.655700000000003</v>
      </c>
      <c r="F473" s="2">
        <v>179.34450000000001</v>
      </c>
      <c r="G473" s="2">
        <v>0.39174199999999998</v>
      </c>
      <c r="H473" s="2">
        <v>4</v>
      </c>
      <c r="I473" s="3">
        <f t="shared" si="77"/>
        <v>-1.5647611225041334</v>
      </c>
      <c r="J473" s="3">
        <f t="shared" si="78"/>
        <v>-1.3846556421919931</v>
      </c>
      <c r="K473" s="3">
        <f t="shared" si="79"/>
        <v>-2.2378951785774968</v>
      </c>
      <c r="L473" s="3">
        <f t="shared" si="80"/>
        <v>-4.1101343362703095E-2</v>
      </c>
      <c r="M473" s="3">
        <f t="shared" si="81"/>
        <v>-0.34521810591624863</v>
      </c>
      <c r="N473" s="3">
        <f t="shared" si="82"/>
        <v>0.31391471423157125</v>
      </c>
      <c r="O473" s="3">
        <f t="shared" si="83"/>
        <v>0.13032970345911829</v>
      </c>
      <c r="P473" s="3">
        <f t="shared" si="84"/>
        <v>0.53253638410237902</v>
      </c>
      <c r="Q473" s="3">
        <f t="shared" si="85"/>
        <v>-0.76043376023903064</v>
      </c>
      <c r="R473" s="3">
        <f t="shared" si="87"/>
        <v>-0.53253638410237902</v>
      </c>
    </row>
    <row r="474" spans="1:18" x14ac:dyDescent="0.3">
      <c r="A474" s="2">
        <v>470</v>
      </c>
      <c r="B474" s="2">
        <v>1</v>
      </c>
      <c r="C474" s="2">
        <v>25</v>
      </c>
      <c r="D474" s="2">
        <f t="shared" si="86"/>
        <v>625</v>
      </c>
      <c r="E474" s="2">
        <v>77.352000000000004</v>
      </c>
      <c r="F474" s="2">
        <v>199.8169</v>
      </c>
      <c r="G474" s="2">
        <v>0.162661</v>
      </c>
      <c r="H474" s="2">
        <v>2</v>
      </c>
      <c r="I474" s="3">
        <f t="shared" si="77"/>
        <v>-0.49415924023173263</v>
      </c>
      <c r="J474" s="3">
        <f t="shared" si="78"/>
        <v>-0.57646527401108472</v>
      </c>
      <c r="K474" s="3">
        <f t="shared" si="79"/>
        <v>0.25854104056777111</v>
      </c>
      <c r="L474" s="3">
        <f t="shared" si="80"/>
        <v>2.0291348218595187</v>
      </c>
      <c r="M474" s="3">
        <f t="shared" si="81"/>
        <v>-1.145684603641576</v>
      </c>
      <c r="N474" s="3">
        <f t="shared" si="82"/>
        <v>-0.86179582596158</v>
      </c>
      <c r="O474" s="3">
        <f t="shared" si="83"/>
        <v>0.19541278562695363</v>
      </c>
      <c r="P474" s="3">
        <f t="shared" si="84"/>
        <v>0.54869832811090924</v>
      </c>
      <c r="Q474" s="3">
        <f t="shared" si="85"/>
        <v>-0.60020648192219717</v>
      </c>
      <c r="R474" s="3">
        <f t="shared" si="87"/>
        <v>0.45130167188909076</v>
      </c>
    </row>
    <row r="475" spans="1:18" x14ac:dyDescent="0.3">
      <c r="A475" s="2">
        <v>471</v>
      </c>
      <c r="B475" s="2">
        <v>0</v>
      </c>
      <c r="C475" s="2">
        <v>27</v>
      </c>
      <c r="D475" s="2">
        <f t="shared" si="86"/>
        <v>729</v>
      </c>
      <c r="E475" s="2">
        <v>63.444299999999998</v>
      </c>
      <c r="F475" s="2">
        <v>195.68780000000001</v>
      </c>
      <c r="G475" s="2">
        <v>0.73436599999999996</v>
      </c>
      <c r="H475" s="2">
        <v>5</v>
      </c>
      <c r="I475" s="3">
        <f t="shared" si="77"/>
        <v>-0.18827298815390386</v>
      </c>
      <c r="J475" s="3">
        <f t="shared" si="78"/>
        <v>-0.29722341922432566</v>
      </c>
      <c r="K475" s="3">
        <f t="shared" si="79"/>
        <v>-1.1473248585752851</v>
      </c>
      <c r="L475" s="3">
        <f t="shared" si="80"/>
        <v>1.6115867009836531</v>
      </c>
      <c r="M475" s="3">
        <f t="shared" si="81"/>
        <v>0.85199612536719505</v>
      </c>
      <c r="N475" s="3">
        <f t="shared" si="82"/>
        <v>0.90176998432814681</v>
      </c>
      <c r="O475" s="3">
        <f t="shared" si="83"/>
        <v>-5.3076964111403967E-2</v>
      </c>
      <c r="P475" s="3">
        <f t="shared" si="84"/>
        <v>0.48673387323062373</v>
      </c>
      <c r="Q475" s="3">
        <f t="shared" si="85"/>
        <v>-0.66696080269142732</v>
      </c>
      <c r="R475" s="3">
        <f t="shared" si="87"/>
        <v>-0.48673387323062373</v>
      </c>
    </row>
    <row r="476" spans="1:18" x14ac:dyDescent="0.3">
      <c r="A476" s="2">
        <v>472</v>
      </c>
      <c r="B476" s="2">
        <v>1</v>
      </c>
      <c r="C476" s="2">
        <v>28</v>
      </c>
      <c r="D476" s="2">
        <f t="shared" si="86"/>
        <v>784</v>
      </c>
      <c r="E476" s="2">
        <v>78.1922</v>
      </c>
      <c r="F476" s="2">
        <v>166.71899999999999</v>
      </c>
      <c r="G476" s="2">
        <v>0.20883099999999999</v>
      </c>
      <c r="H476" s="2">
        <v>1</v>
      </c>
      <c r="I476" s="3">
        <f t="shared" si="77"/>
        <v>-3.5329862114989473E-2</v>
      </c>
      <c r="J476" s="3">
        <f t="shared" si="78"/>
        <v>-0.14954743832748191</v>
      </c>
      <c r="K476" s="3">
        <f t="shared" si="79"/>
        <v>0.343473022740236</v>
      </c>
      <c r="L476" s="3">
        <f t="shared" si="80"/>
        <v>-1.3178332704456637</v>
      </c>
      <c r="M476" s="3">
        <f t="shared" si="81"/>
        <v>-0.98435503811681235</v>
      </c>
      <c r="N476" s="3">
        <f t="shared" si="82"/>
        <v>-1.4496510960581555</v>
      </c>
      <c r="O476" s="3">
        <f t="shared" si="83"/>
        <v>7.2207203846644322E-2</v>
      </c>
      <c r="P476" s="3">
        <f t="shared" si="84"/>
        <v>0.51804396172148959</v>
      </c>
      <c r="Q476" s="3">
        <f t="shared" si="85"/>
        <v>-0.65769517213555106</v>
      </c>
      <c r="R476" s="3">
        <f t="shared" si="87"/>
        <v>0.48195603827851041</v>
      </c>
    </row>
    <row r="477" spans="1:18" x14ac:dyDescent="0.3">
      <c r="A477" s="2">
        <v>473</v>
      </c>
      <c r="B477" s="2">
        <v>1</v>
      </c>
      <c r="C477" s="2">
        <v>29</v>
      </c>
      <c r="D477" s="2">
        <f t="shared" si="86"/>
        <v>841</v>
      </c>
      <c r="E477" s="2">
        <v>78.742800000000003</v>
      </c>
      <c r="F477" s="2">
        <v>185.22239999999999</v>
      </c>
      <c r="G477" s="2">
        <v>5.8564999999999999E-2</v>
      </c>
      <c r="H477" s="2">
        <v>2</v>
      </c>
      <c r="I477" s="3">
        <f t="shared" si="77"/>
        <v>0.1176132639239249</v>
      </c>
      <c r="J477" s="3">
        <f t="shared" si="78"/>
        <v>3.4985782383379449E-3</v>
      </c>
      <c r="K477" s="3">
        <f t="shared" si="79"/>
        <v>0.39913066304511535</v>
      </c>
      <c r="L477" s="3">
        <f t="shared" si="80"/>
        <v>0.55329116340541706</v>
      </c>
      <c r="M477" s="3">
        <f t="shared" si="81"/>
        <v>-1.5094221486462498</v>
      </c>
      <c r="N477" s="3">
        <f t="shared" si="82"/>
        <v>-0.86179582596158</v>
      </c>
      <c r="O477" s="3">
        <f t="shared" si="83"/>
        <v>0.12008297074682682</v>
      </c>
      <c r="P477" s="3">
        <f t="shared" si="84"/>
        <v>0.52998471990506246</v>
      </c>
      <c r="Q477" s="3">
        <f t="shared" si="85"/>
        <v>-0.63490710321937927</v>
      </c>
      <c r="R477" s="3">
        <f t="shared" si="87"/>
        <v>0.47001528009493754</v>
      </c>
    </row>
    <row r="478" spans="1:18" x14ac:dyDescent="0.3">
      <c r="A478" s="2">
        <v>474</v>
      </c>
      <c r="B478" s="2">
        <v>0</v>
      </c>
      <c r="C478" s="2">
        <v>30</v>
      </c>
      <c r="D478" s="2">
        <f t="shared" si="86"/>
        <v>900</v>
      </c>
      <c r="E478" s="2">
        <v>74.131600000000006</v>
      </c>
      <c r="F478" s="2">
        <v>171.83600000000001</v>
      </c>
      <c r="G478" s="2">
        <v>0.55236600000000002</v>
      </c>
      <c r="H478" s="2">
        <v>1</v>
      </c>
      <c r="I478" s="3">
        <f t="shared" si="77"/>
        <v>0.27055638996283926</v>
      </c>
      <c r="J478" s="3">
        <f t="shared" si="78"/>
        <v>0.16191463047313392</v>
      </c>
      <c r="K478" s="3">
        <f t="shared" si="79"/>
        <v>-6.6994493100649477E-2</v>
      </c>
      <c r="L478" s="3">
        <f t="shared" si="80"/>
        <v>-0.80038546474422412</v>
      </c>
      <c r="M478" s="3">
        <f t="shared" si="81"/>
        <v>0.21604245576557146</v>
      </c>
      <c r="N478" s="3">
        <f t="shared" si="82"/>
        <v>-1.4496510960581555</v>
      </c>
      <c r="O478" s="3">
        <f t="shared" si="83"/>
        <v>-1.8123099126043235E-2</v>
      </c>
      <c r="P478" s="3">
        <f t="shared" si="84"/>
        <v>0.49546934922426</v>
      </c>
      <c r="Q478" s="3">
        <f t="shared" si="85"/>
        <v>-0.68412668627531692</v>
      </c>
      <c r="R478" s="3">
        <f t="shared" si="87"/>
        <v>-0.49546934922426</v>
      </c>
    </row>
    <row r="479" spans="1:18" x14ac:dyDescent="0.3">
      <c r="A479" s="2">
        <v>475</v>
      </c>
      <c r="B479" s="2">
        <v>0</v>
      </c>
      <c r="C479" s="2">
        <v>29</v>
      </c>
      <c r="D479" s="2">
        <f t="shared" si="86"/>
        <v>841</v>
      </c>
      <c r="E479" s="2">
        <v>83.072900000000004</v>
      </c>
      <c r="F479" s="2">
        <v>181.9151</v>
      </c>
      <c r="G479" s="2">
        <v>0.59523000000000004</v>
      </c>
      <c r="H479" s="2">
        <v>5</v>
      </c>
      <c r="I479" s="3">
        <f t="shared" si="77"/>
        <v>0.1176132639239249</v>
      </c>
      <c r="J479" s="3">
        <f t="shared" si="78"/>
        <v>3.4985782383379449E-3</v>
      </c>
      <c r="K479" s="3">
        <f t="shared" si="79"/>
        <v>0.83684070351761242</v>
      </c>
      <c r="L479" s="3">
        <f t="shared" si="80"/>
        <v>0.21884615113331168</v>
      </c>
      <c r="M479" s="3">
        <f t="shared" si="81"/>
        <v>0.36582002770954952</v>
      </c>
      <c r="N479" s="3">
        <f t="shared" si="82"/>
        <v>0.90176998432814681</v>
      </c>
      <c r="O479" s="3">
        <f t="shared" si="83"/>
        <v>3.6735960087753775E-2</v>
      </c>
      <c r="P479" s="3">
        <f t="shared" si="84"/>
        <v>0.50918295732154872</v>
      </c>
      <c r="Q479" s="3">
        <f t="shared" si="85"/>
        <v>-0.71168384246453165</v>
      </c>
      <c r="R479" s="3">
        <f t="shared" si="87"/>
        <v>-0.50918295732154872</v>
      </c>
    </row>
    <row r="480" spans="1:18" x14ac:dyDescent="0.3">
      <c r="A480" s="2">
        <v>476</v>
      </c>
      <c r="B480" s="2">
        <v>0</v>
      </c>
      <c r="C480" s="2">
        <v>31</v>
      </c>
      <c r="D480" s="2">
        <f t="shared" si="86"/>
        <v>961</v>
      </c>
      <c r="E480" s="2">
        <v>62.542299999999997</v>
      </c>
      <c r="F480" s="2">
        <v>180.68369999999999</v>
      </c>
      <c r="G480" s="2">
        <v>0.87191300000000005</v>
      </c>
      <c r="H480" s="2">
        <v>2</v>
      </c>
      <c r="I480" s="3">
        <f t="shared" si="77"/>
        <v>0.42349951600175367</v>
      </c>
      <c r="J480" s="3">
        <f t="shared" si="78"/>
        <v>0.32570071837690606</v>
      </c>
      <c r="K480" s="3">
        <f t="shared" si="79"/>
        <v>-1.2385039206076152</v>
      </c>
      <c r="L480" s="3">
        <f t="shared" si="80"/>
        <v>9.4322948487082572E-2</v>
      </c>
      <c r="M480" s="3">
        <f t="shared" si="81"/>
        <v>1.3326198582940885</v>
      </c>
      <c r="N480" s="3">
        <f t="shared" si="82"/>
        <v>-0.86179582596158</v>
      </c>
      <c r="O480" s="3">
        <f t="shared" si="83"/>
        <v>-0.13885042517961632</v>
      </c>
      <c r="P480" s="3">
        <f t="shared" si="84"/>
        <v>0.46534305636225115</v>
      </c>
      <c r="Q480" s="3">
        <f t="shared" si="85"/>
        <v>-0.62612996460532044</v>
      </c>
      <c r="R480" s="3">
        <f t="shared" si="87"/>
        <v>-0.46534305636225115</v>
      </c>
    </row>
    <row r="481" spans="1:18" x14ac:dyDescent="0.3">
      <c r="A481" s="2">
        <v>477</v>
      </c>
      <c r="B481" s="2">
        <v>1</v>
      </c>
      <c r="C481" s="2">
        <v>19</v>
      </c>
      <c r="D481" s="2">
        <f t="shared" si="86"/>
        <v>361</v>
      </c>
      <c r="E481" s="2">
        <v>86.077200000000005</v>
      </c>
      <c r="F481" s="2">
        <v>169.4461</v>
      </c>
      <c r="G481" s="2">
        <v>0.57698199999999999</v>
      </c>
      <c r="H481" s="2">
        <v>6</v>
      </c>
      <c r="I481" s="3">
        <f t="shared" si="77"/>
        <v>-1.4118179964652189</v>
      </c>
      <c r="J481" s="3">
        <f t="shared" si="78"/>
        <v>-1.2853099823159346</v>
      </c>
      <c r="K481" s="3">
        <f t="shared" si="79"/>
        <v>1.1405316747634318</v>
      </c>
      <c r="L481" s="3">
        <f t="shared" si="80"/>
        <v>-1.0420599831819555</v>
      </c>
      <c r="M481" s="3">
        <f t="shared" si="81"/>
        <v>0.30205693670465689</v>
      </c>
      <c r="N481" s="3">
        <f t="shared" si="82"/>
        <v>1.4896252544247224</v>
      </c>
      <c r="O481" s="3">
        <f t="shared" si="83"/>
        <v>0.25019383894601588</v>
      </c>
      <c r="P481" s="3">
        <f t="shared" si="84"/>
        <v>0.56222421068181583</v>
      </c>
      <c r="Q481" s="3">
        <f t="shared" si="85"/>
        <v>-0.5758545572572612</v>
      </c>
      <c r="R481" s="3">
        <f t="shared" si="87"/>
        <v>0.43777578931818417</v>
      </c>
    </row>
    <row r="482" spans="1:18" x14ac:dyDescent="0.3">
      <c r="A482" s="2">
        <v>478</v>
      </c>
      <c r="B482" s="2">
        <v>1</v>
      </c>
      <c r="C482" s="2">
        <v>36</v>
      </c>
      <c r="D482" s="2">
        <f t="shared" si="86"/>
        <v>1296</v>
      </c>
      <c r="E482" s="2">
        <v>67.919200000000004</v>
      </c>
      <c r="F482" s="2">
        <v>190.5848</v>
      </c>
      <c r="G482" s="2">
        <v>0.34548099999999998</v>
      </c>
      <c r="H482" s="2">
        <v>6</v>
      </c>
      <c r="I482" s="3">
        <f t="shared" si="77"/>
        <v>1.1882151461963255</v>
      </c>
      <c r="J482" s="3">
        <f t="shared" si="78"/>
        <v>1.2251816929304087</v>
      </c>
      <c r="K482" s="3">
        <f t="shared" si="79"/>
        <v>-0.69497764716899446</v>
      </c>
      <c r="L482" s="3">
        <f t="shared" si="80"/>
        <v>1.0955546211528069</v>
      </c>
      <c r="M482" s="3">
        <f t="shared" si="81"/>
        <v>-0.50686564827581304</v>
      </c>
      <c r="N482" s="3">
        <f t="shared" si="82"/>
        <v>1.4896252544247224</v>
      </c>
      <c r="O482" s="3">
        <f t="shared" si="83"/>
        <v>-4.7787637599514668E-2</v>
      </c>
      <c r="P482" s="3">
        <f t="shared" si="84"/>
        <v>0.48805536363594715</v>
      </c>
      <c r="Q482" s="3">
        <f t="shared" si="85"/>
        <v>-0.71732642949030057</v>
      </c>
      <c r="R482" s="3">
        <f t="shared" si="87"/>
        <v>0.51194463636405285</v>
      </c>
    </row>
    <row r="483" spans="1:18" x14ac:dyDescent="0.3">
      <c r="A483" s="2">
        <v>479</v>
      </c>
      <c r="B483" s="2">
        <v>1</v>
      </c>
      <c r="C483" s="2">
        <v>35</v>
      </c>
      <c r="D483" s="2">
        <f t="shared" si="86"/>
        <v>1225</v>
      </c>
      <c r="E483" s="2">
        <v>59.441000000000003</v>
      </c>
      <c r="F483" s="2">
        <v>182.03299999999999</v>
      </c>
      <c r="G483" s="2">
        <v>0.80301199999999995</v>
      </c>
      <c r="H483" s="2">
        <v>5</v>
      </c>
      <c r="I483" s="3">
        <f t="shared" si="77"/>
        <v>1.0352720201574113</v>
      </c>
      <c r="J483" s="3">
        <f t="shared" si="78"/>
        <v>1.034545426681756</v>
      </c>
      <c r="K483" s="3">
        <f t="shared" si="79"/>
        <v>-1.5520001790121214</v>
      </c>
      <c r="L483" s="3">
        <f t="shared" si="80"/>
        <v>0.23076858542922632</v>
      </c>
      <c r="M483" s="3">
        <f t="shared" si="81"/>
        <v>1.0918624748368273</v>
      </c>
      <c r="N483" s="3">
        <f t="shared" si="82"/>
        <v>0.90176998432814681</v>
      </c>
      <c r="O483" s="3">
        <f t="shared" si="83"/>
        <v>-0.18538460701626439</v>
      </c>
      <c r="P483" s="3">
        <f t="shared" si="84"/>
        <v>0.45378612692057174</v>
      </c>
      <c r="Q483" s="3">
        <f t="shared" si="85"/>
        <v>-0.79012927801473176</v>
      </c>
      <c r="R483" s="3">
        <f t="shared" si="87"/>
        <v>0.54621387307942826</v>
      </c>
    </row>
    <row r="484" spans="1:18" x14ac:dyDescent="0.3">
      <c r="A484" s="2">
        <v>480</v>
      </c>
      <c r="B484" s="2">
        <v>1</v>
      </c>
      <c r="C484" s="2">
        <v>20</v>
      </c>
      <c r="D484" s="2">
        <f t="shared" si="86"/>
        <v>400</v>
      </c>
      <c r="E484" s="2">
        <v>72.275999999999996</v>
      </c>
      <c r="F484" s="2">
        <v>177.1532</v>
      </c>
      <c r="G484" s="2">
        <v>0.54027899999999995</v>
      </c>
      <c r="H484" s="2">
        <v>3</v>
      </c>
      <c r="I484" s="3">
        <f t="shared" si="77"/>
        <v>-1.2588748704263044</v>
      </c>
      <c r="J484" s="3">
        <f t="shared" si="78"/>
        <v>-1.1805942867708998</v>
      </c>
      <c r="K484" s="3">
        <f t="shared" si="79"/>
        <v>-0.25456862559199367</v>
      </c>
      <c r="L484" s="3">
        <f t="shared" si="80"/>
        <v>-0.26269277909332001</v>
      </c>
      <c r="M484" s="3">
        <f t="shared" si="81"/>
        <v>0.17380744475197327</v>
      </c>
      <c r="N484" s="3">
        <f t="shared" si="82"/>
        <v>-0.27394055586500432</v>
      </c>
      <c r="O484" s="3">
        <f t="shared" si="83"/>
        <v>0.17444884745271164</v>
      </c>
      <c r="P484" s="3">
        <f t="shared" si="84"/>
        <v>0.54350194539396102</v>
      </c>
      <c r="Q484" s="3">
        <f t="shared" si="85"/>
        <v>-0.60972199304556585</v>
      </c>
      <c r="R484" s="3">
        <f t="shared" si="87"/>
        <v>0.45649805460603898</v>
      </c>
    </row>
    <row r="485" spans="1:18" x14ac:dyDescent="0.3">
      <c r="A485" s="2">
        <v>481</v>
      </c>
      <c r="B485" s="2">
        <v>0</v>
      </c>
      <c r="C485" s="2">
        <v>34</v>
      </c>
      <c r="D485" s="2">
        <f t="shared" si="86"/>
        <v>1156</v>
      </c>
      <c r="E485" s="2">
        <v>54.048400000000001</v>
      </c>
      <c r="F485" s="2">
        <v>175.6189</v>
      </c>
      <c r="G485" s="2">
        <v>7.9280000000000003E-2</v>
      </c>
      <c r="H485" s="2">
        <v>5</v>
      </c>
      <c r="I485" s="3">
        <f t="shared" si="77"/>
        <v>0.8823288941184968</v>
      </c>
      <c r="J485" s="3">
        <f t="shared" si="78"/>
        <v>0.84927919610207925</v>
      </c>
      <c r="K485" s="3">
        <f t="shared" si="79"/>
        <v>-2.0971134937743643</v>
      </c>
      <c r="L485" s="3">
        <f t="shared" si="80"/>
        <v>-0.41784622218257478</v>
      </c>
      <c r="M485" s="3">
        <f t="shared" si="81"/>
        <v>-1.4370387405924165</v>
      </c>
      <c r="N485" s="3">
        <f t="shared" si="82"/>
        <v>0.90176998432814681</v>
      </c>
      <c r="O485" s="3">
        <f t="shared" si="83"/>
        <v>-0.12816826000588113</v>
      </c>
      <c r="P485" s="3">
        <f t="shared" si="84"/>
        <v>0.46800172625509195</v>
      </c>
      <c r="Q485" s="3">
        <f t="shared" si="85"/>
        <v>-0.63111503448615558</v>
      </c>
      <c r="R485" s="3">
        <f t="shared" si="87"/>
        <v>-0.46800172625509195</v>
      </c>
    </row>
    <row r="486" spans="1:18" x14ac:dyDescent="0.3">
      <c r="A486" s="2">
        <v>482</v>
      </c>
      <c r="B486" s="2">
        <v>1</v>
      </c>
      <c r="C486" s="2">
        <v>25</v>
      </c>
      <c r="D486" s="2">
        <f t="shared" si="86"/>
        <v>625</v>
      </c>
      <c r="E486" s="2">
        <v>77.541700000000006</v>
      </c>
      <c r="F486" s="2">
        <v>181.39779999999999</v>
      </c>
      <c r="G486" s="2">
        <v>0.56585099999999999</v>
      </c>
      <c r="H486" s="2">
        <v>3</v>
      </c>
      <c r="I486" s="3">
        <f t="shared" si="77"/>
        <v>-0.49415924023173263</v>
      </c>
      <c r="J486" s="3">
        <f t="shared" si="78"/>
        <v>-0.57646527401108472</v>
      </c>
      <c r="K486" s="3">
        <f t="shared" si="79"/>
        <v>0.27771694751625581</v>
      </c>
      <c r="L486" s="3">
        <f t="shared" si="80"/>
        <v>0.16653508021493044</v>
      </c>
      <c r="M486" s="3">
        <f t="shared" si="81"/>
        <v>0.26316242958193342</v>
      </c>
      <c r="N486" s="3">
        <f t="shared" si="82"/>
        <v>-0.27394055586500432</v>
      </c>
      <c r="O486" s="3">
        <f t="shared" si="83"/>
        <v>8.5423626585842294E-2</v>
      </c>
      <c r="P486" s="3">
        <f t="shared" si="84"/>
        <v>0.52134292959631023</v>
      </c>
      <c r="Q486" s="3">
        <f t="shared" si="85"/>
        <v>-0.65134723956035212</v>
      </c>
      <c r="R486" s="3">
        <f t="shared" si="87"/>
        <v>0.47865707040368977</v>
      </c>
    </row>
    <row r="487" spans="1:18" x14ac:dyDescent="0.3">
      <c r="A487" s="2">
        <v>483</v>
      </c>
      <c r="B487" s="2">
        <v>1</v>
      </c>
      <c r="C487" s="2">
        <v>27</v>
      </c>
      <c r="D487" s="2">
        <f t="shared" si="86"/>
        <v>729</v>
      </c>
      <c r="E487" s="2">
        <v>72.407499999999999</v>
      </c>
      <c r="F487" s="2">
        <v>184.07929999999999</v>
      </c>
      <c r="G487" s="2">
        <v>0.90801900000000002</v>
      </c>
      <c r="H487" s="2">
        <v>2</v>
      </c>
      <c r="I487" s="3">
        <f t="shared" si="77"/>
        <v>-0.18827298815390386</v>
      </c>
      <c r="J487" s="3">
        <f t="shared" si="78"/>
        <v>-0.29722341922432566</v>
      </c>
      <c r="K487" s="3">
        <f t="shared" si="79"/>
        <v>-0.24127589093872134</v>
      </c>
      <c r="L487" s="3">
        <f t="shared" si="80"/>
        <v>0.43769714607156612</v>
      </c>
      <c r="M487" s="3">
        <f t="shared" si="81"/>
        <v>1.4587832824404412</v>
      </c>
      <c r="N487" s="3">
        <f t="shared" si="82"/>
        <v>-0.86179582596158</v>
      </c>
      <c r="O487" s="3">
        <f t="shared" si="83"/>
        <v>-2.2082967752285458E-2</v>
      </c>
      <c r="P487" s="3">
        <f t="shared" si="84"/>
        <v>0.49447948240357315</v>
      </c>
      <c r="Q487" s="3">
        <f t="shared" si="85"/>
        <v>-0.70424962038062922</v>
      </c>
      <c r="R487" s="3">
        <f t="shared" si="87"/>
        <v>0.5055205175964268</v>
      </c>
    </row>
    <row r="488" spans="1:18" x14ac:dyDescent="0.3">
      <c r="A488" s="2">
        <v>484</v>
      </c>
      <c r="B488" s="2">
        <v>1</v>
      </c>
      <c r="C488" s="2">
        <v>19</v>
      </c>
      <c r="D488" s="2">
        <f t="shared" si="86"/>
        <v>361</v>
      </c>
      <c r="E488" s="2">
        <v>87.3369</v>
      </c>
      <c r="F488" s="2">
        <v>178.75020000000001</v>
      </c>
      <c r="G488" s="2">
        <v>0.39631300000000003</v>
      </c>
      <c r="H488" s="2">
        <v>3</v>
      </c>
      <c r="I488" s="3">
        <f t="shared" si="77"/>
        <v>-1.4118179964652189</v>
      </c>
      <c r="J488" s="3">
        <f t="shared" si="78"/>
        <v>-1.2853099823159346</v>
      </c>
      <c r="K488" s="3">
        <f t="shared" si="79"/>
        <v>1.2678689967613539</v>
      </c>
      <c r="L488" s="3">
        <f t="shared" si="80"/>
        <v>-0.10119890656934107</v>
      </c>
      <c r="M488" s="3">
        <f t="shared" si="81"/>
        <v>-0.32924588490663842</v>
      </c>
      <c r="N488" s="3">
        <f t="shared" si="82"/>
        <v>-0.27394055586500432</v>
      </c>
      <c r="O488" s="3">
        <f t="shared" si="83"/>
        <v>0.33177251479505659</v>
      </c>
      <c r="P488" s="3">
        <f t="shared" si="84"/>
        <v>0.58219059439100007</v>
      </c>
      <c r="Q488" s="3">
        <f t="shared" si="85"/>
        <v>-0.54095740308967277</v>
      </c>
      <c r="R488" s="3">
        <f t="shared" si="87"/>
        <v>0.41780940560899993</v>
      </c>
    </row>
    <row r="489" spans="1:18" x14ac:dyDescent="0.3">
      <c r="A489" s="2">
        <v>485</v>
      </c>
      <c r="B489" s="2">
        <v>1</v>
      </c>
      <c r="C489" s="2">
        <v>36</v>
      </c>
      <c r="D489" s="2">
        <f t="shared" si="86"/>
        <v>1296</v>
      </c>
      <c r="E489" s="2">
        <v>81.489199999999997</v>
      </c>
      <c r="F489" s="2">
        <v>151.6748</v>
      </c>
      <c r="G489" s="2">
        <v>0.29632599999999998</v>
      </c>
      <c r="H489" s="2">
        <v>2</v>
      </c>
      <c r="I489" s="3">
        <f t="shared" si="77"/>
        <v>1.1882151461963255</v>
      </c>
      <c r="J489" s="3">
        <f t="shared" si="78"/>
        <v>1.2251816929304087</v>
      </c>
      <c r="K489" s="3">
        <f t="shared" si="79"/>
        <v>0.67675170070098079</v>
      </c>
      <c r="L489" s="3">
        <f t="shared" si="80"/>
        <v>-2.8391520663287126</v>
      </c>
      <c r="M489" s="3">
        <f t="shared" si="81"/>
        <v>-0.67862555283222958</v>
      </c>
      <c r="N489" s="3">
        <f t="shared" si="82"/>
        <v>-0.86179582596158</v>
      </c>
      <c r="O489" s="3">
        <f t="shared" si="83"/>
        <v>-8.96972093514453E-3</v>
      </c>
      <c r="P489" s="3">
        <f t="shared" si="84"/>
        <v>0.49775758480082033</v>
      </c>
      <c r="Q489" s="3">
        <f t="shared" si="85"/>
        <v>-0.69764209798051013</v>
      </c>
      <c r="R489" s="3">
        <f t="shared" si="87"/>
        <v>0.50224241519917967</v>
      </c>
    </row>
    <row r="490" spans="1:18" x14ac:dyDescent="0.3">
      <c r="A490" s="2">
        <v>486</v>
      </c>
      <c r="B490" s="2">
        <v>1</v>
      </c>
      <c r="C490" s="2">
        <v>26</v>
      </c>
      <c r="D490" s="2">
        <f t="shared" si="86"/>
        <v>676</v>
      </c>
      <c r="E490" s="2">
        <v>61.08</v>
      </c>
      <c r="F490" s="2">
        <v>180.16890000000001</v>
      </c>
      <c r="G490" s="2">
        <v>0.14346900000000001</v>
      </c>
      <c r="H490" s="2">
        <v>2</v>
      </c>
      <c r="I490" s="3">
        <f t="shared" si="77"/>
        <v>-0.34121611419281822</v>
      </c>
      <c r="J490" s="3">
        <f t="shared" si="78"/>
        <v>-0.43952936445219321</v>
      </c>
      <c r="K490" s="3">
        <f t="shared" si="79"/>
        <v>-1.3863211516606928</v>
      </c>
      <c r="L490" s="3">
        <f t="shared" si="80"/>
        <v>4.2264685759881168E-2</v>
      </c>
      <c r="M490" s="3">
        <f t="shared" si="81"/>
        <v>-1.2127462675261602</v>
      </c>
      <c r="N490" s="3">
        <f t="shared" si="82"/>
        <v>-0.86179582596158</v>
      </c>
      <c r="O490" s="3">
        <f t="shared" si="83"/>
        <v>2.4737155789930333E-2</v>
      </c>
      <c r="P490" s="3">
        <f t="shared" si="84"/>
        <v>0.50618397360572753</v>
      </c>
      <c r="Q490" s="3">
        <f t="shared" si="85"/>
        <v>-0.68085509157434776</v>
      </c>
      <c r="R490" s="3">
        <f t="shared" si="87"/>
        <v>0.49381602639427247</v>
      </c>
    </row>
    <row r="491" spans="1:18" x14ac:dyDescent="0.3">
      <c r="A491" s="2">
        <v>487</v>
      </c>
      <c r="B491" s="2">
        <v>1</v>
      </c>
      <c r="C491" s="2">
        <v>24</v>
      </c>
      <c r="D491" s="2">
        <f t="shared" si="86"/>
        <v>576</v>
      </c>
      <c r="E491" s="2">
        <v>66.616100000000003</v>
      </c>
      <c r="F491" s="2">
        <v>165.58519999999999</v>
      </c>
      <c r="G491" s="2">
        <v>0.151446</v>
      </c>
      <c r="H491" s="2">
        <v>4</v>
      </c>
      <c r="I491" s="3">
        <f t="shared" si="77"/>
        <v>-0.64710236627064699</v>
      </c>
      <c r="J491" s="3">
        <f t="shared" si="78"/>
        <v>-0.70803114790099997</v>
      </c>
      <c r="K491" s="3">
        <f t="shared" si="79"/>
        <v>-0.82670207702967002</v>
      </c>
      <c r="L491" s="3">
        <f t="shared" si="80"/>
        <v>-1.4324868413083358</v>
      </c>
      <c r="M491" s="3">
        <f t="shared" si="81"/>
        <v>-1.184872627842577</v>
      </c>
      <c r="N491" s="3">
        <f t="shared" si="82"/>
        <v>0.31391471423157125</v>
      </c>
      <c r="O491" s="3">
        <f t="shared" si="83"/>
        <v>5.1064405940043557E-2</v>
      </c>
      <c r="P491" s="3">
        <f t="shared" si="84"/>
        <v>0.51276332816245451</v>
      </c>
      <c r="Q491" s="3">
        <f t="shared" si="85"/>
        <v>-0.66794088887658065</v>
      </c>
      <c r="R491" s="3">
        <f t="shared" si="87"/>
        <v>0.48723667183754549</v>
      </c>
    </row>
    <row r="492" spans="1:18" x14ac:dyDescent="0.3">
      <c r="A492" s="2">
        <v>488</v>
      </c>
      <c r="B492" s="2">
        <v>1</v>
      </c>
      <c r="C492" s="2">
        <v>21</v>
      </c>
      <c r="D492" s="2">
        <f t="shared" si="86"/>
        <v>441</v>
      </c>
      <c r="E492" s="2">
        <v>80.206599999999995</v>
      </c>
      <c r="F492" s="2">
        <v>177.90549999999999</v>
      </c>
      <c r="G492" s="2">
        <v>0.43277100000000002</v>
      </c>
      <c r="H492" s="2">
        <v>2</v>
      </c>
      <c r="I492" s="3">
        <f t="shared" si="77"/>
        <v>-1.1059317443873902</v>
      </c>
      <c r="J492" s="3">
        <f t="shared" si="78"/>
        <v>-1.0705085555568892</v>
      </c>
      <c r="K492" s="3">
        <f t="shared" si="79"/>
        <v>0.54709952225013081</v>
      </c>
      <c r="L492" s="3">
        <f t="shared" si="80"/>
        <v>-0.18661773820428601</v>
      </c>
      <c r="M492" s="3">
        <f t="shared" si="81"/>
        <v>-0.20185248443226483</v>
      </c>
      <c r="N492" s="3">
        <f t="shared" si="82"/>
        <v>-0.86179582596158</v>
      </c>
      <c r="O492" s="3">
        <f t="shared" si="83"/>
        <v>0.22266611271418355</v>
      </c>
      <c r="P492" s="3">
        <f t="shared" si="84"/>
        <v>0.55543766635677805</v>
      </c>
      <c r="Q492" s="3">
        <f t="shared" si="85"/>
        <v>-0.58799888797764244</v>
      </c>
      <c r="R492" s="3">
        <f t="shared" si="87"/>
        <v>0.44456233364322195</v>
      </c>
    </row>
    <row r="493" spans="1:18" x14ac:dyDescent="0.3">
      <c r="A493" s="2">
        <v>489</v>
      </c>
      <c r="B493" s="2">
        <v>0</v>
      </c>
      <c r="C493" s="2">
        <v>38</v>
      </c>
      <c r="D493" s="2">
        <f t="shared" si="86"/>
        <v>1444</v>
      </c>
      <c r="E493" s="2">
        <v>83.470799999999997</v>
      </c>
      <c r="F493" s="2">
        <v>165.95439999999999</v>
      </c>
      <c r="G493" s="2">
        <v>0.59567999999999999</v>
      </c>
      <c r="H493" s="2">
        <v>3</v>
      </c>
      <c r="I493" s="3">
        <f t="shared" si="77"/>
        <v>1.4941013982741542</v>
      </c>
      <c r="J493" s="3">
        <f t="shared" si="78"/>
        <v>1.6225643324346428</v>
      </c>
      <c r="K493" s="3">
        <f t="shared" si="79"/>
        <v>0.87706259795515507</v>
      </c>
      <c r="L493" s="3">
        <f t="shared" si="80"/>
        <v>-1.3951521276352903</v>
      </c>
      <c r="M493" s="3">
        <f t="shared" si="81"/>
        <v>0.36739244062889403</v>
      </c>
      <c r="N493" s="3">
        <f t="shared" si="82"/>
        <v>-0.27394055586500432</v>
      </c>
      <c r="O493" s="3">
        <f t="shared" si="83"/>
        <v>-5.4092204123211774E-3</v>
      </c>
      <c r="P493" s="3">
        <f t="shared" si="84"/>
        <v>0.49864769819424293</v>
      </c>
      <c r="Q493" s="3">
        <f t="shared" si="85"/>
        <v>-0.69044622780750931</v>
      </c>
      <c r="R493" s="3">
        <f t="shared" si="87"/>
        <v>-0.49864769819424293</v>
      </c>
    </row>
    <row r="494" spans="1:18" x14ac:dyDescent="0.3">
      <c r="A494" s="2">
        <v>490</v>
      </c>
      <c r="B494" s="2">
        <v>1</v>
      </c>
      <c r="C494" s="2">
        <v>35</v>
      </c>
      <c r="D494" s="2">
        <f t="shared" si="86"/>
        <v>1225</v>
      </c>
      <c r="E494" s="2">
        <v>87.224999999999994</v>
      </c>
      <c r="F494" s="2">
        <v>165.83500000000001</v>
      </c>
      <c r="G494" s="2">
        <v>8.0615000000000006E-2</v>
      </c>
      <c r="H494" s="2">
        <v>4</v>
      </c>
      <c r="I494" s="3">
        <f t="shared" si="77"/>
        <v>1.0352720201574113</v>
      </c>
      <c r="J494" s="3">
        <f t="shared" si="78"/>
        <v>1.034545426681756</v>
      </c>
      <c r="K494" s="3">
        <f t="shared" si="79"/>
        <v>1.2565575366267439</v>
      </c>
      <c r="L494" s="3">
        <f t="shared" si="80"/>
        <v>-1.4072262468459107</v>
      </c>
      <c r="M494" s="3">
        <f t="shared" si="81"/>
        <v>-1.4323739155983608</v>
      </c>
      <c r="N494" s="3">
        <f t="shared" si="82"/>
        <v>0.31391471423157125</v>
      </c>
      <c r="O494" s="3">
        <f t="shared" si="83"/>
        <v>7.625366832692522E-2</v>
      </c>
      <c r="P494" s="3">
        <f t="shared" si="84"/>
        <v>0.51905418523607272</v>
      </c>
      <c r="Q494" s="3">
        <f t="shared" si="85"/>
        <v>-0.65574699811352233</v>
      </c>
      <c r="R494" s="3">
        <f t="shared" si="87"/>
        <v>0.48094581476392728</v>
      </c>
    </row>
    <row r="495" spans="1:18" x14ac:dyDescent="0.3">
      <c r="A495" s="2">
        <v>491</v>
      </c>
      <c r="B495" s="2">
        <v>1</v>
      </c>
      <c r="C495" s="2">
        <v>30</v>
      </c>
      <c r="D495" s="2">
        <f t="shared" si="86"/>
        <v>900</v>
      </c>
      <c r="E495" s="2">
        <v>87.145099999999999</v>
      </c>
      <c r="F495" s="2">
        <v>192.35120000000001</v>
      </c>
      <c r="G495" s="2">
        <v>0.93956899999999999</v>
      </c>
      <c r="H495" s="2">
        <v>4</v>
      </c>
      <c r="I495" s="3">
        <f t="shared" si="77"/>
        <v>0.27055638996283926</v>
      </c>
      <c r="J495" s="3">
        <f t="shared" si="78"/>
        <v>0.16191463047313392</v>
      </c>
      <c r="K495" s="3">
        <f t="shared" si="79"/>
        <v>1.2484808104001555</v>
      </c>
      <c r="L495" s="3">
        <f t="shared" si="80"/>
        <v>1.2741787767109505</v>
      </c>
      <c r="M495" s="3">
        <f t="shared" si="81"/>
        <v>1.5690268993411622</v>
      </c>
      <c r="N495" s="3">
        <f t="shared" si="82"/>
        <v>0.31391471423157125</v>
      </c>
      <c r="O495" s="3">
        <f t="shared" si="83"/>
        <v>3.4108593316359473E-2</v>
      </c>
      <c r="P495" s="3">
        <f t="shared" si="84"/>
        <v>0.50852632172097079</v>
      </c>
      <c r="Q495" s="3">
        <f t="shared" si="85"/>
        <v>-0.67623830137013485</v>
      </c>
      <c r="R495" s="3">
        <f t="shared" si="87"/>
        <v>0.49147367827902921</v>
      </c>
    </row>
    <row r="496" spans="1:18" x14ac:dyDescent="0.3">
      <c r="A496" s="2">
        <v>492</v>
      </c>
      <c r="B496" s="2">
        <v>1</v>
      </c>
      <c r="C496" s="2">
        <v>28</v>
      </c>
      <c r="D496" s="2">
        <f t="shared" si="86"/>
        <v>784</v>
      </c>
      <c r="E496" s="2">
        <v>74.104799999999997</v>
      </c>
      <c r="F496" s="2">
        <v>176.79910000000001</v>
      </c>
      <c r="G496" s="2">
        <v>0.75513399999999997</v>
      </c>
      <c r="H496" s="2">
        <v>2</v>
      </c>
      <c r="I496" s="3">
        <f t="shared" si="77"/>
        <v>-3.5329862114989473E-2</v>
      </c>
      <c r="J496" s="3">
        <f t="shared" si="78"/>
        <v>-0.14954743832748191</v>
      </c>
      <c r="K496" s="3">
        <f t="shared" si="79"/>
        <v>-6.9703582748617585E-2</v>
      </c>
      <c r="L496" s="3">
        <f t="shared" si="80"/>
        <v>-0.2985005312916536</v>
      </c>
      <c r="M496" s="3">
        <f t="shared" si="81"/>
        <v>0.92456472872041773</v>
      </c>
      <c r="N496" s="3">
        <f t="shared" si="82"/>
        <v>-0.86179582596158</v>
      </c>
      <c r="O496" s="3">
        <f t="shared" si="83"/>
        <v>-2.0580984146559719E-2</v>
      </c>
      <c r="P496" s="3">
        <f t="shared" si="84"/>
        <v>0.49485493557295168</v>
      </c>
      <c r="Q496" s="3">
        <f t="shared" si="85"/>
        <v>-0.70349061881234098</v>
      </c>
      <c r="R496" s="3">
        <f t="shared" si="87"/>
        <v>0.50514506442704832</v>
      </c>
    </row>
    <row r="497" spans="1:18" x14ac:dyDescent="0.3">
      <c r="A497" s="2">
        <v>493</v>
      </c>
      <c r="B497" s="2">
        <v>1</v>
      </c>
      <c r="C497" s="2">
        <v>21</v>
      </c>
      <c r="D497" s="2">
        <f t="shared" si="86"/>
        <v>441</v>
      </c>
      <c r="E497" s="2">
        <v>78.626599999999996</v>
      </c>
      <c r="F497" s="2">
        <v>176.0334</v>
      </c>
      <c r="G497" s="2">
        <v>0.58662400000000003</v>
      </c>
      <c r="H497" s="2">
        <v>5</v>
      </c>
      <c r="I497" s="3">
        <f t="shared" si="77"/>
        <v>-1.1059317443873902</v>
      </c>
      <c r="J497" s="3">
        <f t="shared" si="78"/>
        <v>-1.0705085555568892</v>
      </c>
      <c r="K497" s="3">
        <f t="shared" si="79"/>
        <v>0.38738453554161495</v>
      </c>
      <c r="L497" s="3">
        <f t="shared" si="80"/>
        <v>-0.37593062408539907</v>
      </c>
      <c r="M497" s="3">
        <f t="shared" si="81"/>
        <v>0.33574850418981561</v>
      </c>
      <c r="N497" s="3">
        <f t="shared" si="82"/>
        <v>0.90176998432814681</v>
      </c>
      <c r="O497" s="3">
        <f t="shared" si="83"/>
        <v>0.16036691849090431</v>
      </c>
      <c r="P497" s="3">
        <f t="shared" si="84"/>
        <v>0.54000602826861388</v>
      </c>
      <c r="Q497" s="3">
        <f t="shared" si="85"/>
        <v>-0.6161749760257319</v>
      </c>
      <c r="R497" s="3">
        <f t="shared" si="87"/>
        <v>0.45999397173138612</v>
      </c>
    </row>
    <row r="498" spans="1:18" x14ac:dyDescent="0.3">
      <c r="A498" s="2">
        <v>494</v>
      </c>
      <c r="B498" s="2">
        <v>0</v>
      </c>
      <c r="C498" s="2">
        <v>38</v>
      </c>
      <c r="D498" s="2">
        <f t="shared" si="86"/>
        <v>1444</v>
      </c>
      <c r="E498" s="2">
        <v>87.987399999999994</v>
      </c>
      <c r="F498" s="2">
        <v>184.8252</v>
      </c>
      <c r="G498" s="2">
        <v>0.82843900000000004</v>
      </c>
      <c r="H498" s="2">
        <v>5</v>
      </c>
      <c r="I498" s="3">
        <f t="shared" si="77"/>
        <v>1.4941013982741542</v>
      </c>
      <c r="J498" s="3">
        <f t="shared" si="78"/>
        <v>1.6225643324346428</v>
      </c>
      <c r="K498" s="3">
        <f t="shared" si="79"/>
        <v>1.333625071985334</v>
      </c>
      <c r="L498" s="3">
        <f t="shared" si="80"/>
        <v>0.51312499799118805</v>
      </c>
      <c r="M498" s="3">
        <f t="shared" si="81"/>
        <v>1.1807107932816654</v>
      </c>
      <c r="N498" s="3">
        <f t="shared" si="82"/>
        <v>0.90176998432814681</v>
      </c>
      <c r="O498" s="3">
        <f t="shared" si="83"/>
        <v>1.7792285332494488E-2</v>
      </c>
      <c r="P498" s="3">
        <f t="shared" si="84"/>
        <v>0.50444795399470832</v>
      </c>
      <c r="Q498" s="3">
        <f t="shared" si="85"/>
        <v>-0.70208289338142649</v>
      </c>
      <c r="R498" s="3">
        <f t="shared" si="87"/>
        <v>-0.50444795399470832</v>
      </c>
    </row>
    <row r="499" spans="1:18" x14ac:dyDescent="0.3">
      <c r="A499" s="2">
        <v>495</v>
      </c>
      <c r="B499" s="2">
        <v>0</v>
      </c>
      <c r="C499" s="2">
        <v>21</v>
      </c>
      <c r="D499" s="2">
        <f t="shared" si="86"/>
        <v>441</v>
      </c>
      <c r="E499" s="2">
        <v>71.966899999999995</v>
      </c>
      <c r="F499" s="2">
        <v>176.29409999999999</v>
      </c>
      <c r="G499" s="2">
        <v>8.0186999999999994E-2</v>
      </c>
      <c r="H499" s="2">
        <v>6</v>
      </c>
      <c r="I499" s="3">
        <f t="shared" si="77"/>
        <v>-1.1059317443873902</v>
      </c>
      <c r="J499" s="3">
        <f t="shared" si="78"/>
        <v>-1.0705085555568892</v>
      </c>
      <c r="K499" s="3">
        <f t="shared" si="79"/>
        <v>-0.28581413343478002</v>
      </c>
      <c r="L499" s="3">
        <f t="shared" si="80"/>
        <v>-0.34956778590944493</v>
      </c>
      <c r="M499" s="3">
        <f t="shared" si="81"/>
        <v>-1.433869454997204</v>
      </c>
      <c r="N499" s="3">
        <f t="shared" si="82"/>
        <v>1.4896252544247224</v>
      </c>
      <c r="O499" s="3">
        <f t="shared" si="83"/>
        <v>0.18385603365904482</v>
      </c>
      <c r="P499" s="3">
        <f t="shared" si="84"/>
        <v>0.54583496765537776</v>
      </c>
      <c r="Q499" s="3">
        <f t="shared" si="85"/>
        <v>-0.78929463962657598</v>
      </c>
      <c r="R499" s="3">
        <f t="shared" si="87"/>
        <v>-0.54583496765537776</v>
      </c>
    </row>
    <row r="500" spans="1:18" x14ac:dyDescent="0.3">
      <c r="A500" s="2">
        <v>496</v>
      </c>
      <c r="B500" s="2">
        <v>0</v>
      </c>
      <c r="C500" s="2">
        <v>27</v>
      </c>
      <c r="D500" s="2">
        <f t="shared" si="86"/>
        <v>729</v>
      </c>
      <c r="E500" s="2">
        <v>78.797300000000007</v>
      </c>
      <c r="F500" s="2">
        <v>201.03809999999999</v>
      </c>
      <c r="G500" s="2">
        <v>0.47683900000000001</v>
      </c>
      <c r="H500" s="2">
        <v>4</v>
      </c>
      <c r="I500" s="3">
        <f t="shared" si="77"/>
        <v>-0.18827298815390386</v>
      </c>
      <c r="J500" s="3">
        <f t="shared" si="78"/>
        <v>-0.29722341922432566</v>
      </c>
      <c r="K500" s="3">
        <f t="shared" si="79"/>
        <v>0.40463981923221332</v>
      </c>
      <c r="L500" s="3">
        <f t="shared" si="80"/>
        <v>2.1526265670857421</v>
      </c>
      <c r="M500" s="3">
        <f t="shared" si="81"/>
        <v>-4.7867834366306837E-2</v>
      </c>
      <c r="N500" s="3">
        <f t="shared" si="82"/>
        <v>0.31391471423157125</v>
      </c>
      <c r="O500" s="3">
        <f t="shared" si="83"/>
        <v>0.10765061967749819</v>
      </c>
      <c r="P500" s="3">
        <f t="shared" si="84"/>
        <v>0.52688669487835182</v>
      </c>
      <c r="Q500" s="3">
        <f t="shared" si="85"/>
        <v>-0.74842037346496726</v>
      </c>
      <c r="R500" s="3">
        <f t="shared" si="87"/>
        <v>-0.52688669487835182</v>
      </c>
    </row>
    <row r="501" spans="1:18" x14ac:dyDescent="0.3">
      <c r="A501" s="2">
        <v>497</v>
      </c>
      <c r="B501" s="2">
        <v>0</v>
      </c>
      <c r="C501" s="2">
        <v>22</v>
      </c>
      <c r="D501" s="2">
        <f t="shared" si="86"/>
        <v>484</v>
      </c>
      <c r="E501" s="2">
        <v>71.731200000000001</v>
      </c>
      <c r="F501" s="2">
        <v>177.2698</v>
      </c>
      <c r="G501" s="2">
        <v>0.63009300000000001</v>
      </c>
      <c r="H501" s="2">
        <v>2</v>
      </c>
      <c r="I501" s="3">
        <f t="shared" si="77"/>
        <v>-0.9529886183484757</v>
      </c>
      <c r="J501" s="3">
        <f t="shared" si="78"/>
        <v>-0.9550527886739022</v>
      </c>
      <c r="K501" s="3">
        <f t="shared" si="79"/>
        <v>-0.30963997037604352</v>
      </c>
      <c r="L501" s="3">
        <f t="shared" si="80"/>
        <v>-0.25090180505681609</v>
      </c>
      <c r="M501" s="3">
        <f t="shared" si="81"/>
        <v>0.48764009794757918</v>
      </c>
      <c r="N501" s="3">
        <f t="shared" si="82"/>
        <v>-0.86179582596158</v>
      </c>
      <c r="O501" s="3">
        <f t="shared" si="83"/>
        <v>0.10756540685830905</v>
      </c>
      <c r="P501" s="3">
        <f t="shared" si="84"/>
        <v>0.5268654532247673</v>
      </c>
      <c r="Q501" s="3">
        <f t="shared" si="85"/>
        <v>-0.74837547686933326</v>
      </c>
      <c r="R501" s="3">
        <f t="shared" si="87"/>
        <v>-0.5268654532247673</v>
      </c>
    </row>
    <row r="502" spans="1:18" x14ac:dyDescent="0.3">
      <c r="A502" s="2">
        <v>498</v>
      </c>
      <c r="B502" s="2">
        <v>0</v>
      </c>
      <c r="C502" s="2">
        <v>26</v>
      </c>
      <c r="D502" s="2">
        <f t="shared" si="86"/>
        <v>676</v>
      </c>
      <c r="E502" s="2">
        <v>69.490499999999997</v>
      </c>
      <c r="F502" s="2">
        <v>183.65129999999999</v>
      </c>
      <c r="G502" s="2">
        <v>0.82865299999999997</v>
      </c>
      <c r="H502" s="2">
        <v>5</v>
      </c>
      <c r="I502" s="3">
        <f t="shared" si="77"/>
        <v>-0.34121611419281822</v>
      </c>
      <c r="J502" s="3">
        <f t="shared" si="78"/>
        <v>-0.43952936445219321</v>
      </c>
      <c r="K502" s="3">
        <f t="shared" si="79"/>
        <v>-0.53614210374172222</v>
      </c>
      <c r="L502" s="3">
        <f t="shared" si="80"/>
        <v>0.39441638374203442</v>
      </c>
      <c r="M502" s="3">
        <f t="shared" si="81"/>
        <v>1.181458562981087</v>
      </c>
      <c r="N502" s="3">
        <f t="shared" si="82"/>
        <v>0.90176998432814681</v>
      </c>
      <c r="O502" s="3">
        <f t="shared" si="83"/>
        <v>-3.7710734613696638E-2</v>
      </c>
      <c r="P502" s="3">
        <f t="shared" si="84"/>
        <v>0.49057343344640153</v>
      </c>
      <c r="Q502" s="3">
        <f t="shared" si="85"/>
        <v>-0.67446956515907219</v>
      </c>
      <c r="R502" s="3">
        <f t="shared" si="87"/>
        <v>-0.49057343344640153</v>
      </c>
    </row>
    <row r="503" spans="1:18" x14ac:dyDescent="0.3">
      <c r="A503" s="2">
        <v>499</v>
      </c>
      <c r="B503" s="2">
        <v>0</v>
      </c>
      <c r="C503" s="2">
        <v>20</v>
      </c>
      <c r="D503" s="2">
        <f t="shared" si="86"/>
        <v>400</v>
      </c>
      <c r="E503" s="2">
        <v>75.483900000000006</v>
      </c>
      <c r="F503" s="2">
        <v>189.70939999999999</v>
      </c>
      <c r="G503" s="2">
        <v>0.78347</v>
      </c>
      <c r="H503" s="2">
        <v>2</v>
      </c>
      <c r="I503" s="3">
        <f t="shared" si="77"/>
        <v>-1.2588748704263044</v>
      </c>
      <c r="J503" s="3">
        <f t="shared" si="78"/>
        <v>-1.1805942867708998</v>
      </c>
      <c r="K503" s="3">
        <f t="shared" si="79"/>
        <v>6.9703340143607559E-2</v>
      </c>
      <c r="L503" s="3">
        <f t="shared" si="80"/>
        <v>1.0070313049302066</v>
      </c>
      <c r="M503" s="3">
        <f t="shared" si="81"/>
        <v>1.0235778231260861</v>
      </c>
      <c r="N503" s="3">
        <f t="shared" si="82"/>
        <v>-0.86179582596158</v>
      </c>
      <c r="O503" s="3">
        <f t="shared" si="83"/>
        <v>0.19721978732854156</v>
      </c>
      <c r="P503" s="3">
        <f t="shared" si="84"/>
        <v>0.5491457536884059</v>
      </c>
      <c r="Q503" s="3">
        <f t="shared" si="85"/>
        <v>-0.79661117062300768</v>
      </c>
      <c r="R503" s="3">
        <f t="shared" si="87"/>
        <v>-0.5491457536884059</v>
      </c>
    </row>
    <row r="504" spans="1:18" x14ac:dyDescent="0.3">
      <c r="A504" s="2">
        <v>500</v>
      </c>
      <c r="B504" s="2">
        <v>1</v>
      </c>
      <c r="C504" s="2">
        <v>34</v>
      </c>
      <c r="D504" s="2">
        <f t="shared" si="86"/>
        <v>1156</v>
      </c>
      <c r="E504" s="2">
        <v>68.124600000000001</v>
      </c>
      <c r="F504" s="2">
        <v>196.02250000000001</v>
      </c>
      <c r="G504" s="2">
        <v>0.27706900000000001</v>
      </c>
      <c r="H504" s="2">
        <v>2</v>
      </c>
      <c r="I504" s="3">
        <f t="shared" si="77"/>
        <v>0.8823288941184968</v>
      </c>
      <c r="J504" s="3">
        <f t="shared" si="78"/>
        <v>0.84927919610207925</v>
      </c>
      <c r="K504" s="3">
        <f t="shared" si="79"/>
        <v>-0.67421469889688768</v>
      </c>
      <c r="L504" s="3">
        <f t="shared" si="80"/>
        <v>1.6454326616184529</v>
      </c>
      <c r="M504" s="3">
        <f t="shared" si="81"/>
        <v>-0.74591434302738591</v>
      </c>
      <c r="N504" s="3">
        <f t="shared" si="82"/>
        <v>-0.86179582596158</v>
      </c>
      <c r="O504" s="3">
        <f t="shared" si="83"/>
        <v>8.1581345594665799E-3</v>
      </c>
      <c r="P504" s="3">
        <f t="shared" si="84"/>
        <v>0.50203952232815141</v>
      </c>
      <c r="Q504" s="3">
        <f t="shared" si="85"/>
        <v>-0.68907643265207752</v>
      </c>
      <c r="R504" s="3">
        <f t="shared" si="87"/>
        <v>0.49796047767184859</v>
      </c>
    </row>
    <row r="505" spans="1:18" x14ac:dyDescent="0.3">
      <c r="A505" s="2">
        <v>501</v>
      </c>
      <c r="B505" s="2">
        <v>0</v>
      </c>
      <c r="C505" s="2">
        <v>20</v>
      </c>
      <c r="D505" s="2">
        <f t="shared" si="86"/>
        <v>400</v>
      </c>
      <c r="E505" s="2">
        <v>73.690799999999996</v>
      </c>
      <c r="F505" s="2">
        <v>172.57990000000001</v>
      </c>
      <c r="G505" s="2">
        <v>0.94088000000000005</v>
      </c>
      <c r="H505" s="2">
        <v>4</v>
      </c>
      <c r="I505" s="3">
        <f t="shared" si="77"/>
        <v>-1.2588748704263044</v>
      </c>
      <c r="J505" s="3">
        <f t="shared" si="78"/>
        <v>-1.1805942867708998</v>
      </c>
      <c r="K505" s="3">
        <f t="shared" si="79"/>
        <v>-0.11155295268363394</v>
      </c>
      <c r="L505" s="3">
        <f t="shared" si="80"/>
        <v>-0.7251598593775449</v>
      </c>
      <c r="M505" s="3">
        <f t="shared" si="81"/>
        <v>1.5736078623128533</v>
      </c>
      <c r="N505" s="3">
        <f t="shared" si="82"/>
        <v>0.31391471423157125</v>
      </c>
      <c r="O505" s="3">
        <f t="shared" si="83"/>
        <v>0.10541593109220096</v>
      </c>
      <c r="P505" s="3">
        <f t="shared" si="84"/>
        <v>0.52632960493578762</v>
      </c>
      <c r="Q505" s="3">
        <f t="shared" si="85"/>
        <v>-0.74724356823110805</v>
      </c>
      <c r="R505" s="3">
        <f t="shared" si="87"/>
        <v>-0.52632960493578762</v>
      </c>
    </row>
    <row r="506" spans="1:18" x14ac:dyDescent="0.3">
      <c r="A506" s="2">
        <v>502</v>
      </c>
      <c r="B506" s="2">
        <v>0</v>
      </c>
      <c r="C506" s="2">
        <v>33</v>
      </c>
      <c r="D506" s="2">
        <f t="shared" si="86"/>
        <v>1089</v>
      </c>
      <c r="E506" s="2">
        <v>64.650499999999994</v>
      </c>
      <c r="F506" s="2">
        <v>175.82040000000001</v>
      </c>
      <c r="G506" s="2">
        <v>0.124346</v>
      </c>
      <c r="H506" s="2">
        <v>6</v>
      </c>
      <c r="I506" s="3">
        <f t="shared" si="77"/>
        <v>0.72938576807958244</v>
      </c>
      <c r="J506" s="3">
        <f t="shared" si="78"/>
        <v>0.66938300119137872</v>
      </c>
      <c r="K506" s="3">
        <f t="shared" si="79"/>
        <v>-1.0253956073298349</v>
      </c>
      <c r="L506" s="3">
        <f t="shared" si="80"/>
        <v>-0.3974698819736936</v>
      </c>
      <c r="M506" s="3">
        <f t="shared" si="81"/>
        <v>-1.2795668280964452</v>
      </c>
      <c r="N506" s="3">
        <f t="shared" si="82"/>
        <v>1.4896252544247224</v>
      </c>
      <c r="O506" s="3">
        <f t="shared" si="83"/>
        <v>-6.9692037785449482E-2</v>
      </c>
      <c r="P506" s="3">
        <f t="shared" si="84"/>
        <v>0.48258403906443464</v>
      </c>
      <c r="Q506" s="3">
        <f t="shared" si="85"/>
        <v>-0.65890816135740948</v>
      </c>
      <c r="R506" s="3">
        <f t="shared" si="87"/>
        <v>-0.48258403906443464</v>
      </c>
    </row>
    <row r="507" spans="1:18" x14ac:dyDescent="0.3">
      <c r="A507" s="2">
        <v>503</v>
      </c>
      <c r="B507" s="2">
        <v>1</v>
      </c>
      <c r="C507" s="2">
        <v>21</v>
      </c>
      <c r="D507" s="2">
        <f t="shared" si="86"/>
        <v>441</v>
      </c>
      <c r="E507" s="2">
        <v>73.100099999999998</v>
      </c>
      <c r="F507" s="2">
        <v>192.74590000000001</v>
      </c>
      <c r="G507" s="2">
        <v>0.87513399999999997</v>
      </c>
      <c r="H507" s="2">
        <v>4</v>
      </c>
      <c r="I507" s="3">
        <f t="shared" si="77"/>
        <v>-1.1059317443873902</v>
      </c>
      <c r="J507" s="3">
        <f t="shared" si="78"/>
        <v>-1.0705085555568892</v>
      </c>
      <c r="K507" s="3">
        <f t="shared" si="79"/>
        <v>-0.17126411891700111</v>
      </c>
      <c r="L507" s="3">
        <f t="shared" si="80"/>
        <v>1.3140921339340026</v>
      </c>
      <c r="M507" s="3">
        <f t="shared" si="81"/>
        <v>1.3438748405456642</v>
      </c>
      <c r="N507" s="3">
        <f t="shared" si="82"/>
        <v>0.31391471423157125</v>
      </c>
      <c r="O507" s="3">
        <f t="shared" si="83"/>
        <v>0.1282662606982114</v>
      </c>
      <c r="P507" s="3">
        <f t="shared" si="84"/>
        <v>0.53202267349957499</v>
      </c>
      <c r="Q507" s="3">
        <f t="shared" si="85"/>
        <v>-0.63106917118856842</v>
      </c>
      <c r="R507" s="3">
        <f t="shared" si="87"/>
        <v>0.46797732650042501</v>
      </c>
    </row>
    <row r="508" spans="1:18" x14ac:dyDescent="0.3">
      <c r="A508" s="2">
        <v>504</v>
      </c>
      <c r="B508" s="2">
        <v>0</v>
      </c>
      <c r="C508" s="2">
        <v>35</v>
      </c>
      <c r="D508" s="2">
        <f t="shared" si="86"/>
        <v>1225</v>
      </c>
      <c r="E508" s="2">
        <v>79.483900000000006</v>
      </c>
      <c r="F508" s="2">
        <v>188.10059999999999</v>
      </c>
      <c r="G508" s="2">
        <v>0.97094000000000003</v>
      </c>
      <c r="H508" s="2">
        <v>1</v>
      </c>
      <c r="I508" s="3">
        <f t="shared" si="77"/>
        <v>1.0352720201574113</v>
      </c>
      <c r="J508" s="3">
        <f t="shared" si="78"/>
        <v>1.034545426681756</v>
      </c>
      <c r="K508" s="3">
        <f t="shared" si="79"/>
        <v>0.47404507864617967</v>
      </c>
      <c r="L508" s="3">
        <f t="shared" si="80"/>
        <v>0.84434417774387205</v>
      </c>
      <c r="M508" s="3">
        <f t="shared" si="81"/>
        <v>1.6786450453250774</v>
      </c>
      <c r="N508" s="3">
        <f t="shared" si="82"/>
        <v>-1.4496510960581555</v>
      </c>
      <c r="O508" s="3">
        <f t="shared" si="83"/>
        <v>-3.0486573498666861E-2</v>
      </c>
      <c r="P508" s="3">
        <f t="shared" si="84"/>
        <v>0.49237894688654515</v>
      </c>
      <c r="Q508" s="3">
        <f t="shared" si="85"/>
        <v>-0.6780200682071732</v>
      </c>
      <c r="R508" s="3">
        <f t="shared" si="87"/>
        <v>-0.49237894688654515</v>
      </c>
    </row>
    <row r="509" spans="1:18" x14ac:dyDescent="0.3">
      <c r="A509" s="2">
        <v>505</v>
      </c>
      <c r="B509" s="2">
        <v>1</v>
      </c>
      <c r="C509" s="2">
        <v>34</v>
      </c>
      <c r="D509" s="2">
        <f t="shared" si="86"/>
        <v>1156</v>
      </c>
      <c r="E509" s="2">
        <v>69.112399999999994</v>
      </c>
      <c r="F509" s="2">
        <v>190.7518</v>
      </c>
      <c r="G509" s="2">
        <v>0.17715400000000001</v>
      </c>
      <c r="H509" s="2">
        <v>5</v>
      </c>
      <c r="I509" s="3">
        <f t="shared" si="77"/>
        <v>0.8823288941184968</v>
      </c>
      <c r="J509" s="3">
        <f t="shared" si="78"/>
        <v>0.84927919610207925</v>
      </c>
      <c r="K509" s="3">
        <f t="shared" si="79"/>
        <v>-0.57436250657367816</v>
      </c>
      <c r="L509" s="3">
        <f t="shared" si="80"/>
        <v>1.1124422083234422</v>
      </c>
      <c r="M509" s="3">
        <f t="shared" si="81"/>
        <v>-1.0950424248858819</v>
      </c>
      <c r="N509" s="3">
        <f t="shared" si="82"/>
        <v>0.90176998432814681</v>
      </c>
      <c r="O509" s="3">
        <f t="shared" si="83"/>
        <v>-7.4036478172851208E-3</v>
      </c>
      <c r="P509" s="3">
        <f t="shared" si="84"/>
        <v>0.49814909650028977</v>
      </c>
      <c r="Q509" s="3">
        <f t="shared" si="85"/>
        <v>-0.69685585620306456</v>
      </c>
      <c r="R509" s="3">
        <f t="shared" si="87"/>
        <v>0.50185090349971029</v>
      </c>
    </row>
    <row r="510" spans="1:18" x14ac:dyDescent="0.3">
      <c r="A510" s="2">
        <v>506</v>
      </c>
      <c r="B510" s="2">
        <v>1</v>
      </c>
      <c r="C510" s="2">
        <v>24</v>
      </c>
      <c r="D510" s="2">
        <f t="shared" si="86"/>
        <v>576</v>
      </c>
      <c r="E510" s="2">
        <v>75.0929</v>
      </c>
      <c r="F510" s="2">
        <v>166.31299999999999</v>
      </c>
      <c r="G510" s="2">
        <v>0.72206599999999999</v>
      </c>
      <c r="H510" s="2">
        <v>5</v>
      </c>
      <c r="I510" s="3">
        <f t="shared" si="77"/>
        <v>-0.64710236627064699</v>
      </c>
      <c r="J510" s="3">
        <f t="shared" si="78"/>
        <v>-0.70803114790099997</v>
      </c>
      <c r="K510" s="3">
        <f t="shared" si="79"/>
        <v>3.0178935204980589E-2</v>
      </c>
      <c r="L510" s="3">
        <f t="shared" si="80"/>
        <v>-1.3588893206928372</v>
      </c>
      <c r="M510" s="3">
        <f t="shared" si="81"/>
        <v>0.80901683890510734</v>
      </c>
      <c r="N510" s="3">
        <f t="shared" si="82"/>
        <v>0.90176998432814681</v>
      </c>
      <c r="O510" s="3">
        <f t="shared" si="83"/>
        <v>1.6007799911481019E-2</v>
      </c>
      <c r="P510" s="3">
        <f t="shared" si="84"/>
        <v>0.50400186452186735</v>
      </c>
      <c r="Q510" s="3">
        <f t="shared" si="85"/>
        <v>-0.68517531146946187</v>
      </c>
      <c r="R510" s="3">
        <f t="shared" si="87"/>
        <v>0.49599813547813265</v>
      </c>
    </row>
    <row r="511" spans="1:18" x14ac:dyDescent="0.3">
      <c r="A511" s="2">
        <v>507</v>
      </c>
      <c r="B511" s="2">
        <v>0</v>
      </c>
      <c r="C511" s="2">
        <v>22</v>
      </c>
      <c r="D511" s="2">
        <f t="shared" si="86"/>
        <v>484</v>
      </c>
      <c r="E511" s="2">
        <v>76.3934</v>
      </c>
      <c r="F511" s="2">
        <v>195.48</v>
      </c>
      <c r="G511" s="2">
        <v>4.0286000000000002E-2</v>
      </c>
      <c r="H511" s="2">
        <v>5</v>
      </c>
      <c r="I511" s="3">
        <f t="shared" si="77"/>
        <v>-0.9529886183484757</v>
      </c>
      <c r="J511" s="3">
        <f t="shared" si="78"/>
        <v>-0.9550527886739022</v>
      </c>
      <c r="K511" s="3">
        <f t="shared" si="79"/>
        <v>0.16164054293562929</v>
      </c>
      <c r="L511" s="3">
        <f t="shared" si="80"/>
        <v>1.5905732841330045</v>
      </c>
      <c r="M511" s="3">
        <f t="shared" si="81"/>
        <v>-1.5732935614300305</v>
      </c>
      <c r="N511" s="3">
        <f t="shared" si="82"/>
        <v>0.90176998432814681</v>
      </c>
      <c r="O511" s="3">
        <f t="shared" si="83"/>
        <v>0.24414312436097896</v>
      </c>
      <c r="P511" s="3">
        <f t="shared" si="84"/>
        <v>0.5607344031406698</v>
      </c>
      <c r="Q511" s="3">
        <f t="shared" si="85"/>
        <v>-0.82265104461286864</v>
      </c>
      <c r="R511" s="3">
        <f t="shared" si="87"/>
        <v>-0.5607344031406698</v>
      </c>
    </row>
    <row r="512" spans="1:18" x14ac:dyDescent="0.3">
      <c r="A512" s="2">
        <v>508</v>
      </c>
      <c r="B512" s="2">
        <v>1</v>
      </c>
      <c r="C512" s="2">
        <v>29</v>
      </c>
      <c r="D512" s="2">
        <f t="shared" si="86"/>
        <v>841</v>
      </c>
      <c r="E512" s="2">
        <v>79.525300000000001</v>
      </c>
      <c r="F512" s="2">
        <v>172.38589999999999</v>
      </c>
      <c r="G512" s="2">
        <v>0.40542299999999998</v>
      </c>
      <c r="H512" s="2">
        <v>3</v>
      </c>
      <c r="I512" s="3">
        <f t="shared" si="77"/>
        <v>0.1176132639239249</v>
      </c>
      <c r="J512" s="3">
        <f t="shared" si="78"/>
        <v>3.4985782383379449E-3</v>
      </c>
      <c r="K512" s="3">
        <f t="shared" si="79"/>
        <v>0.47823001563968087</v>
      </c>
      <c r="L512" s="3">
        <f t="shared" si="80"/>
        <v>-0.74477777501289522</v>
      </c>
      <c r="M512" s="3">
        <f t="shared" si="81"/>
        <v>-0.29741325891723863</v>
      </c>
      <c r="N512" s="3">
        <f t="shared" si="82"/>
        <v>-0.27394055586500432</v>
      </c>
      <c r="O512" s="3">
        <f t="shared" si="83"/>
        <v>3.5473011799433504E-2</v>
      </c>
      <c r="P512" s="3">
        <f t="shared" si="84"/>
        <v>0.50886732313109151</v>
      </c>
      <c r="Q512" s="3">
        <f t="shared" si="85"/>
        <v>-0.67556795823478</v>
      </c>
      <c r="R512" s="3">
        <f t="shared" si="87"/>
        <v>0.49113267686890849</v>
      </c>
    </row>
    <row r="513" spans="1:18" x14ac:dyDescent="0.3">
      <c r="A513" s="2">
        <v>509</v>
      </c>
      <c r="B513" s="2">
        <v>0</v>
      </c>
      <c r="C513" s="2">
        <v>34</v>
      </c>
      <c r="D513" s="2">
        <f t="shared" si="86"/>
        <v>1156</v>
      </c>
      <c r="E513" s="2">
        <v>73.664199999999994</v>
      </c>
      <c r="F513" s="2">
        <v>181.9229</v>
      </c>
      <c r="G513" s="2">
        <v>0.51628300000000005</v>
      </c>
      <c r="H513" s="2">
        <v>2</v>
      </c>
      <c r="I513" s="3">
        <f t="shared" si="77"/>
        <v>0.8823288941184968</v>
      </c>
      <c r="J513" s="3">
        <f t="shared" si="78"/>
        <v>0.84927919610207925</v>
      </c>
      <c r="K513" s="3">
        <f t="shared" si="79"/>
        <v>-0.11424182524467624</v>
      </c>
      <c r="L513" s="3">
        <f t="shared" si="80"/>
        <v>0.21963491268978477</v>
      </c>
      <c r="M513" s="3">
        <f t="shared" si="81"/>
        <v>8.9959399390651798E-2</v>
      </c>
      <c r="N513" s="3">
        <f t="shared" si="82"/>
        <v>-0.86179582596158</v>
      </c>
      <c r="O513" s="3">
        <f t="shared" si="83"/>
        <v>-2.3703544007396035E-2</v>
      </c>
      <c r="P513" s="3">
        <f t="shared" si="84"/>
        <v>0.49407439144143339</v>
      </c>
      <c r="Q513" s="3">
        <f t="shared" si="85"/>
        <v>-0.68136563916193316</v>
      </c>
      <c r="R513" s="3">
        <f t="shared" si="87"/>
        <v>-0.49407439144143339</v>
      </c>
    </row>
    <row r="514" spans="1:18" x14ac:dyDescent="0.3">
      <c r="A514" s="2">
        <v>510</v>
      </c>
      <c r="B514" s="2">
        <v>0</v>
      </c>
      <c r="C514" s="2">
        <v>30</v>
      </c>
      <c r="D514" s="2">
        <f t="shared" si="86"/>
        <v>900</v>
      </c>
      <c r="E514" s="2">
        <v>85.858699999999999</v>
      </c>
      <c r="F514" s="2">
        <v>178.51779999999999</v>
      </c>
      <c r="G514" s="2">
        <v>0.58064499999999997</v>
      </c>
      <c r="H514" s="2">
        <v>4</v>
      </c>
      <c r="I514" s="3">
        <f t="shared" si="77"/>
        <v>0.27055638996283926</v>
      </c>
      <c r="J514" s="3">
        <f t="shared" si="78"/>
        <v>0.16191463047313392</v>
      </c>
      <c r="K514" s="3">
        <f t="shared" si="79"/>
        <v>1.1184445072977283</v>
      </c>
      <c r="L514" s="3">
        <f t="shared" si="80"/>
        <v>-0.12469995602117233</v>
      </c>
      <c r="M514" s="3">
        <f t="shared" si="81"/>
        <v>0.31485637786812248</v>
      </c>
      <c r="N514" s="3">
        <f t="shared" si="82"/>
        <v>0.31391471423157125</v>
      </c>
      <c r="O514" s="3">
        <f t="shared" si="83"/>
        <v>4.6462505117333096E-2</v>
      </c>
      <c r="P514" s="3">
        <f t="shared" si="84"/>
        <v>0.51161353711364344</v>
      </c>
      <c r="Q514" s="3">
        <f t="shared" si="85"/>
        <v>-0.71664825439762025</v>
      </c>
      <c r="R514" s="3">
        <f t="shared" si="87"/>
        <v>-0.51161353711364344</v>
      </c>
    </row>
    <row r="515" spans="1:18" x14ac:dyDescent="0.3">
      <c r="A515" s="2">
        <v>511</v>
      </c>
      <c r="B515" s="2">
        <v>1</v>
      </c>
      <c r="C515" s="2">
        <v>20</v>
      </c>
      <c r="D515" s="2">
        <f t="shared" si="86"/>
        <v>400</v>
      </c>
      <c r="E515" s="2">
        <v>53.9908</v>
      </c>
      <c r="F515" s="2">
        <v>171.21520000000001</v>
      </c>
      <c r="G515" s="2">
        <v>0.93593700000000002</v>
      </c>
      <c r="H515" s="2">
        <v>5</v>
      </c>
      <c r="I515" s="3">
        <f t="shared" si="77"/>
        <v>-1.2588748704263044</v>
      </c>
      <c r="J515" s="3">
        <f t="shared" si="78"/>
        <v>-1.1805942867708998</v>
      </c>
      <c r="K515" s="3">
        <f t="shared" si="79"/>
        <v>-2.1029360148088014</v>
      </c>
      <c r="L515" s="3">
        <f t="shared" si="80"/>
        <v>-0.86316279477734004</v>
      </c>
      <c r="M515" s="3">
        <f t="shared" si="81"/>
        <v>1.5563357799565849</v>
      </c>
      <c r="N515" s="3">
        <f t="shared" si="82"/>
        <v>0.90176998432814681</v>
      </c>
      <c r="O515" s="3">
        <f t="shared" si="83"/>
        <v>-3.5798922824997546E-2</v>
      </c>
      <c r="P515" s="3">
        <f t="shared" si="84"/>
        <v>0.49105122497482578</v>
      </c>
      <c r="Q515" s="3">
        <f t="shared" si="85"/>
        <v>-0.71120682877841923</v>
      </c>
      <c r="R515" s="3">
        <f t="shared" si="87"/>
        <v>0.50894877502517422</v>
      </c>
    </row>
    <row r="516" spans="1:18" x14ac:dyDescent="0.3">
      <c r="A516" s="2">
        <v>512</v>
      </c>
      <c r="B516" s="2">
        <v>1</v>
      </c>
      <c r="C516" s="2">
        <v>26</v>
      </c>
      <c r="D516" s="2">
        <f t="shared" si="86"/>
        <v>676</v>
      </c>
      <c r="E516" s="2">
        <v>104.3775</v>
      </c>
      <c r="F516" s="2">
        <v>165.87459999999999</v>
      </c>
      <c r="G516" s="2">
        <v>0.67225100000000004</v>
      </c>
      <c r="H516" s="2">
        <v>1</v>
      </c>
      <c r="I516" s="3">
        <f t="shared" si="77"/>
        <v>-0.34121611419281822</v>
      </c>
      <c r="J516" s="3">
        <f t="shared" si="78"/>
        <v>-0.43952936445219321</v>
      </c>
      <c r="K516" s="3">
        <f t="shared" si="79"/>
        <v>2.9904254540430864</v>
      </c>
      <c r="L516" s="3">
        <f t="shared" si="80"/>
        <v>-1.4032217650976664</v>
      </c>
      <c r="M516" s="3">
        <f t="shared" si="81"/>
        <v>0.6349507287336521</v>
      </c>
      <c r="N516" s="3">
        <f t="shared" si="82"/>
        <v>-1.4496510960581555</v>
      </c>
      <c r="O516" s="3">
        <f t="shared" si="83"/>
        <v>0.2078369395337632</v>
      </c>
      <c r="P516" s="3">
        <f t="shared" si="84"/>
        <v>0.55177300253156636</v>
      </c>
      <c r="Q516" s="3">
        <f t="shared" si="85"/>
        <v>-0.5946185445800618</v>
      </c>
      <c r="R516" s="3">
        <f t="shared" si="87"/>
        <v>0.44822699746843364</v>
      </c>
    </row>
    <row r="517" spans="1:18" x14ac:dyDescent="0.3">
      <c r="A517" s="2">
        <v>513</v>
      </c>
      <c r="B517" s="2">
        <v>0</v>
      </c>
      <c r="C517" s="2">
        <v>34</v>
      </c>
      <c r="D517" s="2">
        <f t="shared" si="86"/>
        <v>1156</v>
      </c>
      <c r="E517" s="2">
        <v>66.288700000000006</v>
      </c>
      <c r="F517" s="2">
        <v>162.5615</v>
      </c>
      <c r="G517" s="2">
        <v>0.48127799999999998</v>
      </c>
      <c r="H517" s="2">
        <v>5</v>
      </c>
      <c r="I517" s="3">
        <f t="shared" ref="I517:I580" si="88">(C517-$V$3)/$W$3</f>
        <v>0.8823288941184968</v>
      </c>
      <c r="J517" s="3">
        <f t="shared" ref="J517:J580" si="89" xml:space="preserve"> (D517- $V$8)/$W$8</f>
        <v>0.84927919610207925</v>
      </c>
      <c r="K517" s="3">
        <f t="shared" ref="K517:K580" si="90">(E517-$V$4)/$W$4</f>
        <v>-0.85979744832610527</v>
      </c>
      <c r="L517" s="3">
        <f t="shared" ref="L517:L580" si="91">(F517-$V$5)/$W$5</f>
        <v>-1.7382532923733021</v>
      </c>
      <c r="M517" s="3">
        <f t="shared" ref="M517:M580" si="92">(G517-$V$6)/$W$6</f>
        <v>-3.2356854479704697E-2</v>
      </c>
      <c r="N517" s="3">
        <f t="shared" ref="N517:N580" si="93">(H517-$V$7)/$W$7</f>
        <v>0.90176998432814681</v>
      </c>
      <c r="O517" s="3">
        <f t="shared" ref="O517:O580" si="94">$V$11+$V$12*I517+$V$17*J517+$V$13*K517+$V$14*L517+$V$15*M517+$V$16*N517</f>
        <v>-0.13735590134484937</v>
      </c>
      <c r="P517" s="3">
        <f t="shared" ref="P517:P580" si="95">1/(1+EXP(-O517))</f>
        <v>0.46571491143402438</v>
      </c>
      <c r="Q517" s="3">
        <f t="shared" ref="Q517:Q580" si="96">B517*LN(P517)+(1-B517)*LN(1-P517)</f>
        <v>-0.62682570876275934</v>
      </c>
      <c r="R517" s="3">
        <f t="shared" si="87"/>
        <v>-0.46571491143402438</v>
      </c>
    </row>
    <row r="518" spans="1:18" x14ac:dyDescent="0.3">
      <c r="A518" s="2">
        <v>514</v>
      </c>
      <c r="B518" s="2">
        <v>1</v>
      </c>
      <c r="C518" s="2">
        <v>34</v>
      </c>
      <c r="D518" s="2">
        <f t="shared" ref="D518:D581" si="97">C518^2</f>
        <v>1156</v>
      </c>
      <c r="E518" s="2">
        <v>79.033900000000003</v>
      </c>
      <c r="F518" s="2">
        <v>181.1902</v>
      </c>
      <c r="G518" s="2">
        <v>0.80967500000000003</v>
      </c>
      <c r="H518" s="2">
        <v>6</v>
      </c>
      <c r="I518" s="3">
        <f t="shared" si="88"/>
        <v>0.8823288941184968</v>
      </c>
      <c r="J518" s="3">
        <f t="shared" si="89"/>
        <v>0.84927919610207925</v>
      </c>
      <c r="K518" s="3">
        <f t="shared" si="90"/>
        <v>0.42855663306464004</v>
      </c>
      <c r="L518" s="3">
        <f t="shared" si="91"/>
        <v>0.14554188801957951</v>
      </c>
      <c r="M518" s="3">
        <f t="shared" si="92"/>
        <v>1.1151446687959243</v>
      </c>
      <c r="N518" s="3">
        <f t="shared" si="93"/>
        <v>1.4896252544247224</v>
      </c>
      <c r="O518" s="3">
        <f t="shared" si="94"/>
        <v>-6.619607950768408E-2</v>
      </c>
      <c r="P518" s="3">
        <f t="shared" si="95"/>
        <v>0.48345702051763734</v>
      </c>
      <c r="Q518" s="3">
        <f t="shared" si="96"/>
        <v>-0.72679286045435343</v>
      </c>
      <c r="R518" s="3">
        <f t="shared" ref="R518:R581" si="98">B518-P518</f>
        <v>0.51654297948236261</v>
      </c>
    </row>
    <row r="519" spans="1:18" x14ac:dyDescent="0.3">
      <c r="A519" s="2">
        <v>515</v>
      </c>
      <c r="B519" s="2">
        <v>1</v>
      </c>
      <c r="C519" s="2">
        <v>37</v>
      </c>
      <c r="D519" s="2">
        <f t="shared" si="97"/>
        <v>1369</v>
      </c>
      <c r="E519" s="2">
        <v>65.615300000000005</v>
      </c>
      <c r="F519" s="2">
        <v>164.74680000000001</v>
      </c>
      <c r="G519" s="2">
        <v>0.95053299999999996</v>
      </c>
      <c r="H519" s="2">
        <v>2</v>
      </c>
      <c r="I519" s="3">
        <f t="shared" si="88"/>
        <v>1.34115827223524</v>
      </c>
      <c r="J519" s="3">
        <f t="shared" si="89"/>
        <v>1.4211879948480377</v>
      </c>
      <c r="K519" s="3">
        <f t="shared" si="90"/>
        <v>-0.9278683800030133</v>
      </c>
      <c r="L519" s="3">
        <f t="shared" si="91"/>
        <v>-1.5172685963015105</v>
      </c>
      <c r="M519" s="3">
        <f t="shared" si="92"/>
        <v>1.6073378665582621</v>
      </c>
      <c r="N519" s="3">
        <f t="shared" si="93"/>
        <v>-0.86179582596158</v>
      </c>
      <c r="O519" s="3">
        <f t="shared" si="94"/>
        <v>-0.17693872810388128</v>
      </c>
      <c r="P519" s="3">
        <f t="shared" si="95"/>
        <v>0.45588036356543371</v>
      </c>
      <c r="Q519" s="3">
        <f t="shared" si="96"/>
        <v>-0.78552486449243364</v>
      </c>
      <c r="R519" s="3">
        <f t="shared" si="98"/>
        <v>0.54411963643456629</v>
      </c>
    </row>
    <row r="520" spans="1:18" x14ac:dyDescent="0.3">
      <c r="A520" s="2">
        <v>516</v>
      </c>
      <c r="B520" s="2">
        <v>0</v>
      </c>
      <c r="C520" s="2">
        <v>33</v>
      </c>
      <c r="D520" s="2">
        <f t="shared" si="97"/>
        <v>1089</v>
      </c>
      <c r="E520" s="2">
        <v>81.442700000000002</v>
      </c>
      <c r="F520" s="2">
        <v>168.6618</v>
      </c>
      <c r="G520" s="2">
        <v>2.2065999999999999E-2</v>
      </c>
      <c r="H520" s="2">
        <v>2</v>
      </c>
      <c r="I520" s="3">
        <f t="shared" si="88"/>
        <v>0.72938576807958244</v>
      </c>
      <c r="J520" s="3">
        <f t="shared" si="89"/>
        <v>0.66938300119137872</v>
      </c>
      <c r="K520" s="3">
        <f t="shared" si="90"/>
        <v>0.6720512279908889</v>
      </c>
      <c r="L520" s="3">
        <f t="shared" si="91"/>
        <v>-1.1213709689180584</v>
      </c>
      <c r="M520" s="3">
        <f t="shared" si="92"/>
        <v>-1.6369588134088304</v>
      </c>
      <c r="N520" s="3">
        <f t="shared" si="93"/>
        <v>-0.86179582596158</v>
      </c>
      <c r="O520" s="3">
        <f t="shared" si="94"/>
        <v>7.2790629406496624E-2</v>
      </c>
      <c r="P520" s="3">
        <f t="shared" si="95"/>
        <v>0.5181896266195104</v>
      </c>
      <c r="Q520" s="3">
        <f t="shared" si="96"/>
        <v>-0.73020465856305283</v>
      </c>
      <c r="R520" s="3">
        <f t="shared" si="98"/>
        <v>-0.5181896266195104</v>
      </c>
    </row>
    <row r="521" spans="1:18" x14ac:dyDescent="0.3">
      <c r="A521" s="2">
        <v>517</v>
      </c>
      <c r="B521" s="2">
        <v>0</v>
      </c>
      <c r="C521" s="2">
        <v>39</v>
      </c>
      <c r="D521" s="2">
        <f t="shared" si="97"/>
        <v>1521</v>
      </c>
      <c r="E521" s="2">
        <v>77.765699999999995</v>
      </c>
      <c r="F521" s="2">
        <v>177.81960000000001</v>
      </c>
      <c r="G521" s="2">
        <v>0.98252099999999998</v>
      </c>
      <c r="H521" s="2">
        <v>4</v>
      </c>
      <c r="I521" s="3">
        <f t="shared" si="88"/>
        <v>1.6470445243130687</v>
      </c>
      <c r="J521" s="3">
        <f t="shared" si="89"/>
        <v>1.829310705690224</v>
      </c>
      <c r="K521" s="3">
        <f t="shared" si="90"/>
        <v>0.30036008487239879</v>
      </c>
      <c r="L521" s="3">
        <f t="shared" si="91"/>
        <v>-0.19530422765313174</v>
      </c>
      <c r="M521" s="3">
        <f t="shared" si="92"/>
        <v>1.7191119653671454</v>
      </c>
      <c r="N521" s="3">
        <f t="shared" si="93"/>
        <v>0.31391471423157125</v>
      </c>
      <c r="O521" s="3">
        <f t="shared" si="94"/>
        <v>-7.3058169520374069E-2</v>
      </c>
      <c r="P521" s="3">
        <f t="shared" si="95"/>
        <v>0.48174357719647454</v>
      </c>
      <c r="Q521" s="3">
        <f t="shared" si="96"/>
        <v>-0.65728513448973858</v>
      </c>
      <c r="R521" s="3">
        <f t="shared" si="98"/>
        <v>-0.48174357719647454</v>
      </c>
    </row>
    <row r="522" spans="1:18" x14ac:dyDescent="0.3">
      <c r="A522" s="2">
        <v>518</v>
      </c>
      <c r="B522" s="2">
        <v>1</v>
      </c>
      <c r="C522" s="2">
        <v>30</v>
      </c>
      <c r="D522" s="2">
        <f t="shared" si="97"/>
        <v>900</v>
      </c>
      <c r="E522" s="2">
        <v>68.492900000000006</v>
      </c>
      <c r="F522" s="2">
        <v>153.61189999999999</v>
      </c>
      <c r="G522" s="2">
        <v>8.6132E-2</v>
      </c>
      <c r="H522" s="2">
        <v>3</v>
      </c>
      <c r="I522" s="3">
        <f t="shared" si="88"/>
        <v>0.27055638996283926</v>
      </c>
      <c r="J522" s="3">
        <f t="shared" si="89"/>
        <v>0.16191463047313392</v>
      </c>
      <c r="K522" s="3">
        <f t="shared" si="90"/>
        <v>-0.63698493332426287</v>
      </c>
      <c r="L522" s="3">
        <f t="shared" si="91"/>
        <v>-2.6432661674769933</v>
      </c>
      <c r="M522" s="3">
        <f t="shared" si="92"/>
        <v>-1.413096133207195</v>
      </c>
      <c r="N522" s="3">
        <f t="shared" si="93"/>
        <v>-0.27394055586500432</v>
      </c>
      <c r="O522" s="3">
        <f t="shared" si="94"/>
        <v>-4.5361843601653594E-2</v>
      </c>
      <c r="P522" s="3">
        <f t="shared" si="95"/>
        <v>0.48866148330209042</v>
      </c>
      <c r="Q522" s="3">
        <f t="shared" si="96"/>
        <v>-0.71608529241797492</v>
      </c>
      <c r="R522" s="3">
        <f t="shared" si="98"/>
        <v>0.51133851669790964</v>
      </c>
    </row>
    <row r="523" spans="1:18" x14ac:dyDescent="0.3">
      <c r="A523" s="2">
        <v>519</v>
      </c>
      <c r="B523" s="2">
        <v>0</v>
      </c>
      <c r="C523" s="2">
        <v>36</v>
      </c>
      <c r="D523" s="2">
        <f t="shared" si="97"/>
        <v>1296</v>
      </c>
      <c r="E523" s="2">
        <v>85.730900000000005</v>
      </c>
      <c r="F523" s="2">
        <v>187.78980000000001</v>
      </c>
      <c r="G523" s="2">
        <v>0.81438699999999997</v>
      </c>
      <c r="H523" s="2">
        <v>4</v>
      </c>
      <c r="I523" s="3">
        <f t="shared" si="88"/>
        <v>1.1882151461963255</v>
      </c>
      <c r="J523" s="3">
        <f t="shared" si="89"/>
        <v>1.2251816929304087</v>
      </c>
      <c r="K523" s="3">
        <f t="shared" si="90"/>
        <v>1.1055257887525718</v>
      </c>
      <c r="L523" s="3">
        <f t="shared" si="91"/>
        <v>0.8129150634167287</v>
      </c>
      <c r="M523" s="3">
        <f t="shared" si="92"/>
        <v>1.1316095791869287</v>
      </c>
      <c r="N523" s="3">
        <f t="shared" si="93"/>
        <v>0.31391471423157125</v>
      </c>
      <c r="O523" s="3">
        <f t="shared" si="94"/>
        <v>1.0458992679274769E-2</v>
      </c>
      <c r="P523" s="3">
        <f t="shared" si="95"/>
        <v>0.50261472433435594</v>
      </c>
      <c r="Q523" s="3">
        <f t="shared" si="96"/>
        <v>-0.69839035065324195</v>
      </c>
      <c r="R523" s="3">
        <f t="shared" si="98"/>
        <v>-0.50261472433435594</v>
      </c>
    </row>
    <row r="524" spans="1:18" x14ac:dyDescent="0.3">
      <c r="A524" s="2">
        <v>520</v>
      </c>
      <c r="B524" s="2">
        <v>0</v>
      </c>
      <c r="C524" s="2">
        <v>34</v>
      </c>
      <c r="D524" s="2">
        <f t="shared" si="97"/>
        <v>1156</v>
      </c>
      <c r="E524" s="2">
        <v>73.360399999999998</v>
      </c>
      <c r="F524" s="2">
        <v>155.90110000000001</v>
      </c>
      <c r="G524" s="2">
        <v>0.280335</v>
      </c>
      <c r="H524" s="2">
        <v>5</v>
      </c>
      <c r="I524" s="3">
        <f t="shared" si="88"/>
        <v>0.8823288941184968</v>
      </c>
      <c r="J524" s="3">
        <f t="shared" si="89"/>
        <v>0.84927919610207925</v>
      </c>
      <c r="K524" s="3">
        <f t="shared" si="90"/>
        <v>-0.14495158028394614</v>
      </c>
      <c r="L524" s="3">
        <f t="shared" si="91"/>
        <v>-2.4117747629798774</v>
      </c>
      <c r="M524" s="3">
        <f t="shared" si="92"/>
        <v>-0.73450211948387545</v>
      </c>
      <c r="N524" s="3">
        <f t="shared" si="93"/>
        <v>0.90176998432814681</v>
      </c>
      <c r="O524" s="3">
        <f t="shared" si="94"/>
        <v>-7.6261113750513421E-2</v>
      </c>
      <c r="P524" s="3">
        <f t="shared" si="95"/>
        <v>0.48094395611144408</v>
      </c>
      <c r="Q524" s="3">
        <f t="shared" si="96"/>
        <v>-0.65574341727512775</v>
      </c>
      <c r="R524" s="3">
        <f t="shared" si="98"/>
        <v>-0.48094395611144408</v>
      </c>
    </row>
    <row r="525" spans="1:18" x14ac:dyDescent="0.3">
      <c r="A525" s="2">
        <v>521</v>
      </c>
      <c r="B525" s="2">
        <v>0</v>
      </c>
      <c r="C525" s="2">
        <v>21</v>
      </c>
      <c r="D525" s="2">
        <f t="shared" si="97"/>
        <v>441</v>
      </c>
      <c r="E525" s="2">
        <v>80.472200000000001</v>
      </c>
      <c r="F525" s="2">
        <v>179.22630000000001</v>
      </c>
      <c r="G525" s="2">
        <v>0.13217999999999999</v>
      </c>
      <c r="H525" s="2">
        <v>6</v>
      </c>
      <c r="I525" s="3">
        <f t="shared" si="88"/>
        <v>-1.1059317443873902</v>
      </c>
      <c r="J525" s="3">
        <f t="shared" si="89"/>
        <v>-1.0705085555568892</v>
      </c>
      <c r="K525" s="3">
        <f t="shared" si="90"/>
        <v>0.57394781368670222</v>
      </c>
      <c r="L525" s="3">
        <f t="shared" si="91"/>
        <v>-5.3054114641559999E-2</v>
      </c>
      <c r="M525" s="3">
        <f t="shared" si="92"/>
        <v>-1.2521928662961204</v>
      </c>
      <c r="N525" s="3">
        <f t="shared" si="93"/>
        <v>1.4896252544247224</v>
      </c>
      <c r="O525" s="3">
        <f t="shared" si="94"/>
        <v>0.2393724580723369</v>
      </c>
      <c r="P525" s="3">
        <f t="shared" si="95"/>
        <v>0.55955899563378997</v>
      </c>
      <c r="Q525" s="3">
        <f t="shared" si="96"/>
        <v>-0.81997877136923947</v>
      </c>
      <c r="R525" s="3">
        <f t="shared" si="98"/>
        <v>-0.55955899563378997</v>
      </c>
    </row>
    <row r="526" spans="1:18" x14ac:dyDescent="0.3">
      <c r="A526" s="2">
        <v>522</v>
      </c>
      <c r="B526" s="2">
        <v>0</v>
      </c>
      <c r="C526" s="2">
        <v>29</v>
      </c>
      <c r="D526" s="2">
        <f t="shared" si="97"/>
        <v>841</v>
      </c>
      <c r="E526" s="2">
        <v>65.828400000000002</v>
      </c>
      <c r="F526" s="2">
        <v>180.15020000000001</v>
      </c>
      <c r="G526" s="2">
        <v>0.43985600000000002</v>
      </c>
      <c r="H526" s="2">
        <v>1</v>
      </c>
      <c r="I526" s="3">
        <f t="shared" si="88"/>
        <v>0.1176132639239249</v>
      </c>
      <c r="J526" s="3">
        <f t="shared" si="89"/>
        <v>3.4985782383379449E-3</v>
      </c>
      <c r="K526" s="3">
        <f t="shared" si="90"/>
        <v>-0.90632707388428912</v>
      </c>
      <c r="L526" s="3">
        <f t="shared" si="91"/>
        <v>4.0373680489876364E-2</v>
      </c>
      <c r="M526" s="3">
        <f t="shared" si="92"/>
        <v>-0.17709571657991588</v>
      </c>
      <c r="N526" s="3">
        <f t="shared" si="93"/>
        <v>-1.4496510960581555</v>
      </c>
      <c r="O526" s="3">
        <f t="shared" si="94"/>
        <v>-2.581713793397615E-2</v>
      </c>
      <c r="P526" s="3">
        <f t="shared" si="95"/>
        <v>0.49354607398756761</v>
      </c>
      <c r="Q526" s="3">
        <f t="shared" si="96"/>
        <v>-0.68032192485561949</v>
      </c>
      <c r="R526" s="3">
        <f t="shared" si="98"/>
        <v>-0.49354607398756761</v>
      </c>
    </row>
    <row r="527" spans="1:18" x14ac:dyDescent="0.3">
      <c r="A527" s="2">
        <v>523</v>
      </c>
      <c r="B527" s="2">
        <v>0</v>
      </c>
      <c r="C527" s="2">
        <v>26</v>
      </c>
      <c r="D527" s="2">
        <f t="shared" si="97"/>
        <v>676</v>
      </c>
      <c r="E527" s="2">
        <v>74.691100000000006</v>
      </c>
      <c r="F527" s="2">
        <v>185.38059999999999</v>
      </c>
      <c r="G527" s="2">
        <v>0.643957</v>
      </c>
      <c r="H527" s="2">
        <v>4</v>
      </c>
      <c r="I527" s="3">
        <f t="shared" si="88"/>
        <v>-0.34121611419281822</v>
      </c>
      <c r="J527" s="3">
        <f t="shared" si="89"/>
        <v>-0.43952936445219321</v>
      </c>
      <c r="K527" s="3">
        <f t="shared" si="90"/>
        <v>-1.0437192427602212E-2</v>
      </c>
      <c r="L527" s="3">
        <f t="shared" si="91"/>
        <v>0.569288865743108</v>
      </c>
      <c r="M527" s="3">
        <f t="shared" si="92"/>
        <v>0.53608439286712262</v>
      </c>
      <c r="N527" s="3">
        <f t="shared" si="93"/>
        <v>0.31391471423157125</v>
      </c>
      <c r="O527" s="3">
        <f t="shared" si="94"/>
        <v>3.6433268795023149E-2</v>
      </c>
      <c r="P527" s="3">
        <f t="shared" si="95"/>
        <v>0.50910730981363317</v>
      </c>
      <c r="Q527" s="3">
        <f t="shared" si="96"/>
        <v>-0.71152972866585407</v>
      </c>
      <c r="R527" s="3">
        <f t="shared" si="98"/>
        <v>-0.50910730981363317</v>
      </c>
    </row>
    <row r="528" spans="1:18" x14ac:dyDescent="0.3">
      <c r="A528" s="2">
        <v>524</v>
      </c>
      <c r="B528" s="2">
        <v>0</v>
      </c>
      <c r="C528" s="2">
        <v>36</v>
      </c>
      <c r="D528" s="2">
        <f t="shared" si="97"/>
        <v>1296</v>
      </c>
      <c r="E528" s="2">
        <v>95.034099999999995</v>
      </c>
      <c r="F528" s="2">
        <v>179.58320000000001</v>
      </c>
      <c r="G528" s="2">
        <v>0.38095200000000001</v>
      </c>
      <c r="H528" s="2">
        <v>3</v>
      </c>
      <c r="I528" s="3">
        <f t="shared" si="88"/>
        <v>1.1882151461963255</v>
      </c>
      <c r="J528" s="3">
        <f t="shared" si="89"/>
        <v>1.2251816929304087</v>
      </c>
      <c r="K528" s="3">
        <f t="shared" si="90"/>
        <v>2.045943804161853</v>
      </c>
      <c r="L528" s="3">
        <f t="shared" si="91"/>
        <v>-1.6963217269107194E-2</v>
      </c>
      <c r="M528" s="3">
        <f t="shared" si="92"/>
        <v>-0.38292107347120191</v>
      </c>
      <c r="N528" s="3">
        <f t="shared" si="93"/>
        <v>-0.27394055586500432</v>
      </c>
      <c r="O528" s="3">
        <f t="shared" si="94"/>
        <v>0.12544207828946075</v>
      </c>
      <c r="P528" s="3">
        <f t="shared" si="95"/>
        <v>0.53131946083015358</v>
      </c>
      <c r="Q528" s="3">
        <f t="shared" si="96"/>
        <v>-0.75783389578204507</v>
      </c>
      <c r="R528" s="3">
        <f t="shared" si="98"/>
        <v>-0.53131946083015358</v>
      </c>
    </row>
    <row r="529" spans="1:18" x14ac:dyDescent="0.3">
      <c r="A529" s="2">
        <v>525</v>
      </c>
      <c r="B529" s="2">
        <v>0</v>
      </c>
      <c r="C529" s="2">
        <v>29</v>
      </c>
      <c r="D529" s="2">
        <f t="shared" si="97"/>
        <v>841</v>
      </c>
      <c r="E529" s="2">
        <v>84.6297</v>
      </c>
      <c r="F529" s="2">
        <v>200.17910000000001</v>
      </c>
      <c r="G529" s="2">
        <v>5.4565000000000002E-2</v>
      </c>
      <c r="H529" s="2">
        <v>4</v>
      </c>
      <c r="I529" s="3">
        <f t="shared" si="88"/>
        <v>0.1176132639239249</v>
      </c>
      <c r="J529" s="3">
        <f t="shared" si="89"/>
        <v>3.4985782383379449E-3</v>
      </c>
      <c r="K529" s="3">
        <f t="shared" si="90"/>
        <v>0.99421050814281298</v>
      </c>
      <c r="L529" s="3">
        <f t="shared" si="91"/>
        <v>2.0657616725972674</v>
      </c>
      <c r="M529" s="3">
        <f t="shared" si="92"/>
        <v>-1.5233991523737578</v>
      </c>
      <c r="N529" s="3">
        <f t="shared" si="93"/>
        <v>0.31391471423157125</v>
      </c>
      <c r="O529" s="3">
        <f t="shared" si="94"/>
        <v>0.1783517653095523</v>
      </c>
      <c r="P529" s="3">
        <f t="shared" si="95"/>
        <v>0.5444701232906547</v>
      </c>
      <c r="Q529" s="3">
        <f t="shared" si="96"/>
        <v>-0.786293973413702</v>
      </c>
      <c r="R529" s="3">
        <f t="shared" si="98"/>
        <v>-0.5444701232906547</v>
      </c>
    </row>
    <row r="530" spans="1:18" x14ac:dyDescent="0.3">
      <c r="A530" s="2">
        <v>526</v>
      </c>
      <c r="B530" s="2">
        <v>1</v>
      </c>
      <c r="C530" s="2">
        <v>26</v>
      </c>
      <c r="D530" s="2">
        <f t="shared" si="97"/>
        <v>676</v>
      </c>
      <c r="E530" s="2">
        <v>78.0762</v>
      </c>
      <c r="F530" s="2">
        <v>182.16319999999999</v>
      </c>
      <c r="G530" s="2">
        <v>0.59946100000000002</v>
      </c>
      <c r="H530" s="2">
        <v>2</v>
      </c>
      <c r="I530" s="3">
        <f t="shared" si="88"/>
        <v>-0.34121611419281822</v>
      </c>
      <c r="J530" s="3">
        <f t="shared" si="89"/>
        <v>-0.43952936445219321</v>
      </c>
      <c r="K530" s="3">
        <f t="shared" si="90"/>
        <v>0.33174711232366144</v>
      </c>
      <c r="L530" s="3">
        <f t="shared" si="91"/>
        <v>0.24393483602573368</v>
      </c>
      <c r="M530" s="3">
        <f t="shared" si="92"/>
        <v>0.38060420340232132</v>
      </c>
      <c r="N530" s="3">
        <f t="shared" si="93"/>
        <v>-0.86179582596158</v>
      </c>
      <c r="O530" s="3">
        <f t="shared" si="94"/>
        <v>7.4328037033787833E-2</v>
      </c>
      <c r="P530" s="3">
        <f t="shared" si="95"/>
        <v>0.51857345904634966</v>
      </c>
      <c r="Q530" s="3">
        <f t="shared" si="96"/>
        <v>-0.65667358526984276</v>
      </c>
      <c r="R530" s="3">
        <f t="shared" si="98"/>
        <v>0.48142654095365034</v>
      </c>
    </row>
    <row r="531" spans="1:18" x14ac:dyDescent="0.3">
      <c r="A531" s="2">
        <v>527</v>
      </c>
      <c r="B531" s="2">
        <v>0</v>
      </c>
      <c r="C531" s="2">
        <v>24</v>
      </c>
      <c r="D531" s="2">
        <f t="shared" si="97"/>
        <v>576</v>
      </c>
      <c r="E531" s="2">
        <v>70.510800000000003</v>
      </c>
      <c r="F531" s="2">
        <v>190.5361</v>
      </c>
      <c r="G531" s="2">
        <v>0.90240299999999996</v>
      </c>
      <c r="H531" s="2">
        <v>5</v>
      </c>
      <c r="I531" s="3">
        <f t="shared" si="88"/>
        <v>-0.64710236627064699</v>
      </c>
      <c r="J531" s="3">
        <f t="shared" si="89"/>
        <v>-0.70803114790099997</v>
      </c>
      <c r="K531" s="3">
        <f t="shared" si="90"/>
        <v>-0.43300463479317802</v>
      </c>
      <c r="L531" s="3">
        <f t="shared" si="91"/>
        <v>1.0906299175886758</v>
      </c>
      <c r="M531" s="3">
        <f t="shared" si="92"/>
        <v>1.4391595692070196</v>
      </c>
      <c r="N531" s="3">
        <f t="shared" si="93"/>
        <v>0.90176998432814681</v>
      </c>
      <c r="O531" s="3">
        <f t="shared" si="94"/>
        <v>1.5636798675761773E-2</v>
      </c>
      <c r="P531" s="3">
        <f t="shared" si="95"/>
        <v>0.50390912001785881</v>
      </c>
      <c r="Q531" s="3">
        <f t="shared" si="96"/>
        <v>-0.70099614327055504</v>
      </c>
      <c r="R531" s="3">
        <f t="shared" si="98"/>
        <v>-0.50390912001785881</v>
      </c>
    </row>
    <row r="532" spans="1:18" x14ac:dyDescent="0.3">
      <c r="A532" s="2">
        <v>528</v>
      </c>
      <c r="B532" s="2">
        <v>1</v>
      </c>
      <c r="C532" s="2">
        <v>31</v>
      </c>
      <c r="D532" s="2">
        <f t="shared" si="97"/>
        <v>961</v>
      </c>
      <c r="E532" s="2">
        <v>75.674999999999997</v>
      </c>
      <c r="F532" s="2">
        <v>172.7654</v>
      </c>
      <c r="G532" s="2">
        <v>0.38321499999999997</v>
      </c>
      <c r="H532" s="2">
        <v>5</v>
      </c>
      <c r="I532" s="3">
        <f t="shared" si="88"/>
        <v>0.42349951600175367</v>
      </c>
      <c r="J532" s="3">
        <f t="shared" si="89"/>
        <v>0.32570071837690606</v>
      </c>
      <c r="K532" s="3">
        <f t="shared" si="90"/>
        <v>8.9020766700567092E-2</v>
      </c>
      <c r="L532" s="3">
        <f t="shared" si="91"/>
        <v>-0.70640149159219967</v>
      </c>
      <c r="M532" s="3">
        <f t="shared" si="92"/>
        <v>-0.37501358361236425</v>
      </c>
      <c r="N532" s="3">
        <f t="shared" si="93"/>
        <v>0.90176998432814681</v>
      </c>
      <c r="O532" s="3">
        <f t="shared" si="94"/>
        <v>-2.2395925896619137E-2</v>
      </c>
      <c r="P532" s="3">
        <f t="shared" si="95"/>
        <v>0.49440125254103356</v>
      </c>
      <c r="Q532" s="3">
        <f t="shared" si="96"/>
        <v>-0.70440783938508211</v>
      </c>
      <c r="R532" s="3">
        <f t="shared" si="98"/>
        <v>0.50559874745896649</v>
      </c>
    </row>
    <row r="533" spans="1:18" x14ac:dyDescent="0.3">
      <c r="A533" s="2">
        <v>529</v>
      </c>
      <c r="B533" s="2">
        <v>1</v>
      </c>
      <c r="C533" s="2">
        <v>37</v>
      </c>
      <c r="D533" s="2">
        <f t="shared" si="97"/>
        <v>1369</v>
      </c>
      <c r="E533" s="2">
        <v>76.975700000000003</v>
      </c>
      <c r="F533" s="2">
        <v>181.20760000000001</v>
      </c>
      <c r="G533" s="2">
        <v>0.216333</v>
      </c>
      <c r="H533" s="2">
        <v>5</v>
      </c>
      <c r="I533" s="3">
        <f t="shared" si="88"/>
        <v>1.34115827223524</v>
      </c>
      <c r="J533" s="3">
        <f t="shared" si="89"/>
        <v>1.4211879948480377</v>
      </c>
      <c r="K533" s="3">
        <f t="shared" si="90"/>
        <v>0.22050259151814161</v>
      </c>
      <c r="L533" s="3">
        <f t="shared" si="91"/>
        <v>0.14730143303017357</v>
      </c>
      <c r="M533" s="3">
        <f t="shared" si="92"/>
        <v>-0.95814116762587065</v>
      </c>
      <c r="N533" s="3">
        <f t="shared" si="93"/>
        <v>0.90176998432814681</v>
      </c>
      <c r="O533" s="3">
        <f t="shared" si="94"/>
        <v>2.1371304292004727E-2</v>
      </c>
      <c r="P533" s="3">
        <f t="shared" si="95"/>
        <v>0.50534262272869723</v>
      </c>
      <c r="Q533" s="3">
        <f t="shared" si="96"/>
        <v>-0.68251861890838594</v>
      </c>
      <c r="R533" s="3">
        <f t="shared" si="98"/>
        <v>0.49465737727130277</v>
      </c>
    </row>
    <row r="534" spans="1:18" x14ac:dyDescent="0.3">
      <c r="A534" s="2">
        <v>530</v>
      </c>
      <c r="B534" s="2">
        <v>1</v>
      </c>
      <c r="C534" s="2">
        <v>36</v>
      </c>
      <c r="D534" s="2">
        <f t="shared" si="97"/>
        <v>1296</v>
      </c>
      <c r="E534" s="2">
        <v>79.4923</v>
      </c>
      <c r="F534" s="2">
        <v>195.47569999999999</v>
      </c>
      <c r="G534" s="2">
        <v>0.442577</v>
      </c>
      <c r="H534" s="2">
        <v>5</v>
      </c>
      <c r="I534" s="3">
        <f t="shared" si="88"/>
        <v>1.1882151461963255</v>
      </c>
      <c r="J534" s="3">
        <f t="shared" si="89"/>
        <v>1.2251816929304087</v>
      </c>
      <c r="K534" s="3">
        <f t="shared" si="90"/>
        <v>0.47489419629703455</v>
      </c>
      <c r="L534" s="3">
        <f t="shared" si="91"/>
        <v>1.5901384540441796</v>
      </c>
      <c r="M534" s="3">
        <f t="shared" si="92"/>
        <v>-0.16758785979427851</v>
      </c>
      <c r="N534" s="3">
        <f t="shared" si="93"/>
        <v>0.90176998432814681</v>
      </c>
      <c r="O534" s="3">
        <f t="shared" si="94"/>
        <v>3.4149476064504553E-2</v>
      </c>
      <c r="P534" s="3">
        <f t="shared" si="95"/>
        <v>0.50853653943234334</v>
      </c>
      <c r="Q534" s="3">
        <f t="shared" si="96"/>
        <v>-0.67621820878438987</v>
      </c>
      <c r="R534" s="3">
        <f t="shared" si="98"/>
        <v>0.49146346056765666</v>
      </c>
    </row>
    <row r="535" spans="1:18" x14ac:dyDescent="0.3">
      <c r="A535" s="2">
        <v>531</v>
      </c>
      <c r="B535" s="2">
        <v>0</v>
      </c>
      <c r="C535" s="2">
        <v>32</v>
      </c>
      <c r="D535" s="2">
        <f t="shared" si="97"/>
        <v>1024</v>
      </c>
      <c r="E535" s="2">
        <v>64.233400000000003</v>
      </c>
      <c r="F535" s="2">
        <v>177.62299999999999</v>
      </c>
      <c r="G535" s="2">
        <v>4.8363000000000003E-2</v>
      </c>
      <c r="H535" s="2">
        <v>5</v>
      </c>
      <c r="I535" s="3">
        <f t="shared" si="88"/>
        <v>0.57644264204066809</v>
      </c>
      <c r="J535" s="3">
        <f t="shared" si="89"/>
        <v>0.49485684194965435</v>
      </c>
      <c r="K535" s="3">
        <f t="shared" si="90"/>
        <v>-1.0675583421121897</v>
      </c>
      <c r="L535" s="3">
        <f t="shared" si="91"/>
        <v>-0.21518506380730645</v>
      </c>
      <c r="M535" s="3">
        <f t="shared" si="92"/>
        <v>-1.5450704966532596</v>
      </c>
      <c r="N535" s="3">
        <f t="shared" si="93"/>
        <v>0.90176998432814681</v>
      </c>
      <c r="O535" s="3">
        <f t="shared" si="94"/>
        <v>-4.3990775516451273E-2</v>
      </c>
      <c r="P535" s="3">
        <f t="shared" si="95"/>
        <v>0.48900407932847706</v>
      </c>
      <c r="Q535" s="3">
        <f t="shared" si="96"/>
        <v>-0.67139367184058507</v>
      </c>
      <c r="R535" s="3">
        <f t="shared" si="98"/>
        <v>-0.48900407932847706</v>
      </c>
    </row>
    <row r="536" spans="1:18" x14ac:dyDescent="0.3">
      <c r="A536" s="2">
        <v>532</v>
      </c>
      <c r="B536" s="2">
        <v>0</v>
      </c>
      <c r="C536" s="2">
        <v>33</v>
      </c>
      <c r="D536" s="2">
        <f t="shared" si="97"/>
        <v>1089</v>
      </c>
      <c r="E536" s="2">
        <v>81.684100000000001</v>
      </c>
      <c r="F536" s="2">
        <v>181.92230000000001</v>
      </c>
      <c r="G536" s="2">
        <v>0.820488</v>
      </c>
      <c r="H536" s="2">
        <v>5</v>
      </c>
      <c r="I536" s="3">
        <f t="shared" si="88"/>
        <v>0.72938576807958244</v>
      </c>
      <c r="J536" s="3">
        <f t="shared" si="89"/>
        <v>0.66938300119137872</v>
      </c>
      <c r="K536" s="3">
        <f t="shared" si="90"/>
        <v>0.69645325190951901</v>
      </c>
      <c r="L536" s="3">
        <f t="shared" si="91"/>
        <v>0.21957423872390311</v>
      </c>
      <c r="M536" s="3">
        <f t="shared" si="92"/>
        <v>1.1529280041223109</v>
      </c>
      <c r="N536" s="3">
        <f t="shared" si="93"/>
        <v>0.90176998432814681</v>
      </c>
      <c r="O536" s="3">
        <f t="shared" si="94"/>
        <v>-3.7692205635240207E-2</v>
      </c>
      <c r="P536" s="3">
        <f t="shared" si="95"/>
        <v>0.49057806404533633</v>
      </c>
      <c r="Q536" s="3">
        <f t="shared" si="96"/>
        <v>-0.67447865502655169</v>
      </c>
      <c r="R536" s="3">
        <f t="shared" si="98"/>
        <v>-0.49057806404533633</v>
      </c>
    </row>
    <row r="537" spans="1:18" x14ac:dyDescent="0.3">
      <c r="A537" s="2">
        <v>533</v>
      </c>
      <c r="B537" s="2">
        <v>1</v>
      </c>
      <c r="C537" s="2">
        <v>38</v>
      </c>
      <c r="D537" s="2">
        <f t="shared" si="97"/>
        <v>1444</v>
      </c>
      <c r="E537" s="2">
        <v>64.104100000000003</v>
      </c>
      <c r="F537" s="2">
        <v>189.80850000000001</v>
      </c>
      <c r="G537" s="2">
        <v>0.82634099999999999</v>
      </c>
      <c r="H537" s="2">
        <v>1</v>
      </c>
      <c r="I537" s="3">
        <f t="shared" si="88"/>
        <v>1.4941013982741542</v>
      </c>
      <c r="J537" s="3">
        <f t="shared" si="89"/>
        <v>1.6225643324346428</v>
      </c>
      <c r="K537" s="3">
        <f t="shared" si="90"/>
        <v>-1.0806286888092853</v>
      </c>
      <c r="L537" s="3">
        <f t="shared" si="91"/>
        <v>1.0170526216284719</v>
      </c>
      <c r="M537" s="3">
        <f t="shared" si="92"/>
        <v>1.1733798548265872</v>
      </c>
      <c r="N537" s="3">
        <f t="shared" si="93"/>
        <v>-1.4496510960581555</v>
      </c>
      <c r="O537" s="3">
        <f t="shared" si="94"/>
        <v>-9.5702059735137193E-2</v>
      </c>
      <c r="P537" s="3">
        <f t="shared" si="95"/>
        <v>0.47609272927520491</v>
      </c>
      <c r="Q537" s="3">
        <f t="shared" si="96"/>
        <v>-0.74214263432191352</v>
      </c>
      <c r="R537" s="3">
        <f t="shared" si="98"/>
        <v>0.52390727072479515</v>
      </c>
    </row>
    <row r="538" spans="1:18" x14ac:dyDescent="0.3">
      <c r="A538" s="2">
        <v>534</v>
      </c>
      <c r="B538" s="2">
        <v>0</v>
      </c>
      <c r="C538" s="2">
        <v>22</v>
      </c>
      <c r="D538" s="2">
        <f t="shared" si="97"/>
        <v>484</v>
      </c>
      <c r="E538" s="2">
        <v>91.311300000000003</v>
      </c>
      <c r="F538" s="2">
        <v>172.57769999999999</v>
      </c>
      <c r="G538" s="2">
        <v>0.58799999999999997</v>
      </c>
      <c r="H538" s="2">
        <v>3</v>
      </c>
      <c r="I538" s="3">
        <f t="shared" si="88"/>
        <v>-0.9529886183484757</v>
      </c>
      <c r="J538" s="3">
        <f t="shared" si="89"/>
        <v>-0.9550527886739022</v>
      </c>
      <c r="K538" s="3">
        <f t="shared" si="90"/>
        <v>1.6696229481375098</v>
      </c>
      <c r="L538" s="3">
        <f t="shared" si="91"/>
        <v>-0.7253823305857825</v>
      </c>
      <c r="M538" s="3">
        <f t="shared" si="92"/>
        <v>0.34055659347207817</v>
      </c>
      <c r="N538" s="3">
        <f t="shared" si="93"/>
        <v>-0.27394055586500432</v>
      </c>
      <c r="O538" s="3">
        <f t="shared" si="94"/>
        <v>0.22437964293309906</v>
      </c>
      <c r="P538" s="3">
        <f t="shared" si="95"/>
        <v>0.55586074236611582</v>
      </c>
      <c r="Q538" s="3">
        <f t="shared" si="96"/>
        <v>-0.81161712240613715</v>
      </c>
      <c r="R538" s="3">
        <f t="shared" si="98"/>
        <v>-0.55586074236611582</v>
      </c>
    </row>
    <row r="539" spans="1:18" x14ac:dyDescent="0.3">
      <c r="A539" s="2">
        <v>535</v>
      </c>
      <c r="B539" s="2">
        <v>1</v>
      </c>
      <c r="C539" s="2">
        <v>20</v>
      </c>
      <c r="D539" s="2">
        <f t="shared" si="97"/>
        <v>400</v>
      </c>
      <c r="E539" s="2">
        <v>67.283699999999996</v>
      </c>
      <c r="F539" s="2">
        <v>158.3844</v>
      </c>
      <c r="G539" s="2">
        <v>0.353103</v>
      </c>
      <c r="H539" s="2">
        <v>5</v>
      </c>
      <c r="I539" s="3">
        <f t="shared" si="88"/>
        <v>-1.2588748704263044</v>
      </c>
      <c r="J539" s="3">
        <f t="shared" si="89"/>
        <v>-1.1805942867708998</v>
      </c>
      <c r="K539" s="3">
        <f t="shared" si="90"/>
        <v>-0.75921744087359133</v>
      </c>
      <c r="L539" s="3">
        <f t="shared" si="91"/>
        <v>-2.1606553305197695</v>
      </c>
      <c r="M539" s="3">
        <f t="shared" si="92"/>
        <v>-0.480232467673046</v>
      </c>
      <c r="N539" s="3">
        <f t="shared" si="93"/>
        <v>0.90176998432814681</v>
      </c>
      <c r="O539" s="3">
        <f t="shared" si="94"/>
        <v>0.10877495543743002</v>
      </c>
      <c r="P539" s="3">
        <f t="shared" si="95"/>
        <v>0.52716695754058096</v>
      </c>
      <c r="Q539" s="3">
        <f t="shared" si="96"/>
        <v>-0.64023797313628383</v>
      </c>
      <c r="R539" s="3">
        <f t="shared" si="98"/>
        <v>0.47283304245941904</v>
      </c>
    </row>
    <row r="540" spans="1:18" x14ac:dyDescent="0.3">
      <c r="A540" s="2">
        <v>536</v>
      </c>
      <c r="B540" s="2">
        <v>0</v>
      </c>
      <c r="C540" s="2">
        <v>29</v>
      </c>
      <c r="D540" s="2">
        <f t="shared" si="97"/>
        <v>841</v>
      </c>
      <c r="E540" s="2">
        <v>77.966300000000004</v>
      </c>
      <c r="F540" s="2">
        <v>182.5557</v>
      </c>
      <c r="G540" s="2">
        <v>0.79978300000000002</v>
      </c>
      <c r="H540" s="2">
        <v>3</v>
      </c>
      <c r="I540" s="3">
        <f t="shared" si="88"/>
        <v>0.1176132639239249</v>
      </c>
      <c r="J540" s="3">
        <f t="shared" si="89"/>
        <v>3.4985782383379449E-3</v>
      </c>
      <c r="K540" s="3">
        <f t="shared" si="90"/>
        <v>0.32063782305830363</v>
      </c>
      <c r="L540" s="3">
        <f t="shared" si="91"/>
        <v>0.28362572204055109</v>
      </c>
      <c r="M540" s="3">
        <f t="shared" si="92"/>
        <v>1.0805795385777965</v>
      </c>
      <c r="N540" s="3">
        <f t="shared" si="93"/>
        <v>-0.27394055586500432</v>
      </c>
      <c r="O540" s="3">
        <f t="shared" si="94"/>
        <v>-9.5870629672582773E-3</v>
      </c>
      <c r="P540" s="3">
        <f t="shared" si="95"/>
        <v>0.49760325261559973</v>
      </c>
      <c r="Q540" s="3">
        <f t="shared" si="96"/>
        <v>-0.68836513800435994</v>
      </c>
      <c r="R540" s="3">
        <f t="shared" si="98"/>
        <v>-0.49760325261559973</v>
      </c>
    </row>
    <row r="541" spans="1:18" x14ac:dyDescent="0.3">
      <c r="A541" s="2">
        <v>537</v>
      </c>
      <c r="B541" s="2">
        <v>0</v>
      </c>
      <c r="C541" s="2">
        <v>37</v>
      </c>
      <c r="D541" s="2">
        <f t="shared" si="97"/>
        <v>1369</v>
      </c>
      <c r="E541" s="2">
        <v>85.051400000000001</v>
      </c>
      <c r="F541" s="2">
        <v>189.88669999999999</v>
      </c>
      <c r="G541" s="2">
        <v>0.55468700000000004</v>
      </c>
      <c r="H541" s="2">
        <v>6</v>
      </c>
      <c r="I541" s="3">
        <f t="shared" si="88"/>
        <v>1.34115827223524</v>
      </c>
      <c r="J541" s="3">
        <f t="shared" si="89"/>
        <v>1.4211879948480377</v>
      </c>
      <c r="K541" s="3">
        <f t="shared" si="90"/>
        <v>1.0368382359244468</v>
      </c>
      <c r="L541" s="3">
        <f t="shared" si="91"/>
        <v>1.024960461848492</v>
      </c>
      <c r="M541" s="3">
        <f t="shared" si="92"/>
        <v>0.22415261217845817</v>
      </c>
      <c r="N541" s="3">
        <f t="shared" si="93"/>
        <v>1.4896252544247224</v>
      </c>
      <c r="O541" s="3">
        <f t="shared" si="94"/>
        <v>3.678672365082826E-2</v>
      </c>
      <c r="P541" s="3">
        <f t="shared" si="95"/>
        <v>0.50919564392567662</v>
      </c>
      <c r="Q541" s="3">
        <f t="shared" si="96"/>
        <v>-0.71170969072771073</v>
      </c>
      <c r="R541" s="3">
        <f t="shared" si="98"/>
        <v>-0.50919564392567662</v>
      </c>
    </row>
    <row r="542" spans="1:18" x14ac:dyDescent="0.3">
      <c r="A542" s="2">
        <v>538</v>
      </c>
      <c r="B542" s="2">
        <v>1</v>
      </c>
      <c r="C542" s="2">
        <v>38</v>
      </c>
      <c r="D542" s="2">
        <f t="shared" si="97"/>
        <v>1444</v>
      </c>
      <c r="E542" s="2">
        <v>72.476200000000006</v>
      </c>
      <c r="F542" s="2">
        <v>166.4855</v>
      </c>
      <c r="G542" s="2">
        <v>0.825932</v>
      </c>
      <c r="H542" s="2">
        <v>5</v>
      </c>
      <c r="I542" s="3">
        <f t="shared" si="88"/>
        <v>1.4941013982741542</v>
      </c>
      <c r="J542" s="3">
        <f t="shared" si="89"/>
        <v>1.6225643324346428</v>
      </c>
      <c r="K542" s="3">
        <f t="shared" si="90"/>
        <v>-0.23433132157993897</v>
      </c>
      <c r="L542" s="3">
        <f t="shared" si="91"/>
        <v>-1.3414455555016107</v>
      </c>
      <c r="M542" s="3">
        <f t="shared" si="92"/>
        <v>1.1719507061954495</v>
      </c>
      <c r="N542" s="3">
        <f t="shared" si="93"/>
        <v>0.90176998432814681</v>
      </c>
      <c r="O542" s="3">
        <f t="shared" si="94"/>
        <v>-0.12761501052418939</v>
      </c>
      <c r="P542" s="3">
        <f t="shared" si="95"/>
        <v>0.4681394745942164</v>
      </c>
      <c r="Q542" s="3">
        <f t="shared" si="96"/>
        <v>-0.75898900482720066</v>
      </c>
      <c r="R542" s="3">
        <f t="shared" si="98"/>
        <v>0.53186052540578355</v>
      </c>
    </row>
    <row r="543" spans="1:18" x14ac:dyDescent="0.3">
      <c r="A543" s="2">
        <v>539</v>
      </c>
      <c r="B543" s="2">
        <v>1</v>
      </c>
      <c r="C543" s="2">
        <v>21</v>
      </c>
      <c r="D543" s="2">
        <f t="shared" si="97"/>
        <v>441</v>
      </c>
      <c r="E543" s="2">
        <v>78.406000000000006</v>
      </c>
      <c r="F543" s="2">
        <v>186.7022</v>
      </c>
      <c r="G543" s="2">
        <v>0.63145899999999999</v>
      </c>
      <c r="H543" s="2">
        <v>4</v>
      </c>
      <c r="I543" s="3">
        <f t="shared" si="88"/>
        <v>-1.1059317443873902</v>
      </c>
      <c r="J543" s="3">
        <f t="shared" si="89"/>
        <v>-1.0705085555568892</v>
      </c>
      <c r="K543" s="3">
        <f t="shared" si="90"/>
        <v>0.36508508866319911</v>
      </c>
      <c r="L543" s="3">
        <f t="shared" si="91"/>
        <v>0.70293338792701043</v>
      </c>
      <c r="M543" s="3">
        <f t="shared" si="92"/>
        <v>0.49241324472052317</v>
      </c>
      <c r="N543" s="3">
        <f t="shared" si="93"/>
        <v>0.31391471423157125</v>
      </c>
      <c r="O543" s="3">
        <f t="shared" si="94"/>
        <v>0.18545049674545744</v>
      </c>
      <c r="P543" s="3">
        <f t="shared" si="95"/>
        <v>0.54623020473984196</v>
      </c>
      <c r="Q543" s="3">
        <f t="shared" si="96"/>
        <v>-0.60471477169149801</v>
      </c>
      <c r="R543" s="3">
        <f t="shared" si="98"/>
        <v>0.45376979526015804</v>
      </c>
    </row>
    <row r="544" spans="1:18" x14ac:dyDescent="0.3">
      <c r="A544" s="2">
        <v>540</v>
      </c>
      <c r="B544" s="2">
        <v>1</v>
      </c>
      <c r="C544" s="2">
        <v>38</v>
      </c>
      <c r="D544" s="2">
        <f t="shared" si="97"/>
        <v>1444</v>
      </c>
      <c r="E544" s="2">
        <v>89.351799999999997</v>
      </c>
      <c r="F544" s="2">
        <v>186.7697</v>
      </c>
      <c r="G544" s="2">
        <v>0.78440500000000002</v>
      </c>
      <c r="H544" s="2">
        <v>5</v>
      </c>
      <c r="I544" s="3">
        <f t="shared" si="88"/>
        <v>1.4941013982741542</v>
      </c>
      <c r="J544" s="3">
        <f t="shared" si="89"/>
        <v>1.6225643324346428</v>
      </c>
      <c r="K544" s="3">
        <f t="shared" si="90"/>
        <v>1.4715460389885617</v>
      </c>
      <c r="L544" s="3">
        <f t="shared" si="91"/>
        <v>0.70975920908879375</v>
      </c>
      <c r="M544" s="3">
        <f t="shared" si="92"/>
        <v>1.0268449477473911</v>
      </c>
      <c r="N544" s="3">
        <f t="shared" si="93"/>
        <v>0.90176998432814681</v>
      </c>
      <c r="O544" s="3">
        <f t="shared" si="94"/>
        <v>3.7931284523058349E-2</v>
      </c>
      <c r="P544" s="3">
        <f t="shared" si="95"/>
        <v>0.50948168431802454</v>
      </c>
      <c r="Q544" s="3">
        <f t="shared" si="96"/>
        <v>-0.67436137531090334</v>
      </c>
      <c r="R544" s="3">
        <f t="shared" si="98"/>
        <v>0.49051831568197546</v>
      </c>
    </row>
    <row r="545" spans="1:18" x14ac:dyDescent="0.3">
      <c r="A545" s="2">
        <v>541</v>
      </c>
      <c r="B545" s="2">
        <v>0</v>
      </c>
      <c r="C545" s="2">
        <v>33</v>
      </c>
      <c r="D545" s="2">
        <f t="shared" si="97"/>
        <v>1089</v>
      </c>
      <c r="E545" s="2">
        <v>80.644000000000005</v>
      </c>
      <c r="F545" s="2">
        <v>157.26499999999999</v>
      </c>
      <c r="G545" s="2">
        <v>0.59856299999999996</v>
      </c>
      <c r="H545" s="2">
        <v>2</v>
      </c>
      <c r="I545" s="3">
        <f t="shared" si="88"/>
        <v>0.72938576807958244</v>
      </c>
      <c r="J545" s="3">
        <f t="shared" si="89"/>
        <v>0.66938300119137872</v>
      </c>
      <c r="K545" s="3">
        <f t="shared" si="90"/>
        <v>0.59131429135538816</v>
      </c>
      <c r="L545" s="3">
        <f t="shared" si="91"/>
        <v>-2.2738527262012616</v>
      </c>
      <c r="M545" s="3">
        <f t="shared" si="92"/>
        <v>0.3774663660654955</v>
      </c>
      <c r="N545" s="3">
        <f t="shared" si="93"/>
        <v>-0.86179582596158</v>
      </c>
      <c r="O545" s="3">
        <f t="shared" si="94"/>
        <v>-4.4829207608123443E-2</v>
      </c>
      <c r="P545" s="3">
        <f t="shared" si="95"/>
        <v>0.48879457462437736</v>
      </c>
      <c r="Q545" s="3">
        <f t="shared" si="96"/>
        <v>-0.67098376295552364</v>
      </c>
      <c r="R545" s="3">
        <f t="shared" si="98"/>
        <v>-0.48879457462437736</v>
      </c>
    </row>
    <row r="546" spans="1:18" x14ac:dyDescent="0.3">
      <c r="A546" s="2">
        <v>542</v>
      </c>
      <c r="B546" s="2">
        <v>1</v>
      </c>
      <c r="C546" s="2">
        <v>24</v>
      </c>
      <c r="D546" s="2">
        <f t="shared" si="97"/>
        <v>576</v>
      </c>
      <c r="E546" s="2">
        <v>78.555499999999995</v>
      </c>
      <c r="F546" s="2">
        <v>170.6371</v>
      </c>
      <c r="G546" s="2">
        <v>0.41414099999999998</v>
      </c>
      <c r="H546" s="2">
        <v>1</v>
      </c>
      <c r="I546" s="3">
        <f t="shared" si="88"/>
        <v>-0.64710236627064699</v>
      </c>
      <c r="J546" s="3">
        <f t="shared" si="89"/>
        <v>-0.70803114790099997</v>
      </c>
      <c r="K546" s="3">
        <f t="shared" si="90"/>
        <v>0.38019736113973163</v>
      </c>
      <c r="L546" s="3">
        <f t="shared" si="91"/>
        <v>-0.92162216090515015</v>
      </c>
      <c r="M546" s="3">
        <f t="shared" si="92"/>
        <v>-0.26695037929313448</v>
      </c>
      <c r="N546" s="3">
        <f t="shared" si="93"/>
        <v>-1.4496510960581555</v>
      </c>
      <c r="O546" s="3">
        <f t="shared" si="94"/>
        <v>0.12760849150622194</v>
      </c>
      <c r="P546" s="3">
        <f t="shared" si="95"/>
        <v>0.53185890226836463</v>
      </c>
      <c r="Q546" s="3">
        <f t="shared" si="96"/>
        <v>-0.6313770461179482</v>
      </c>
      <c r="R546" s="3">
        <f t="shared" si="98"/>
        <v>0.46814109773163537</v>
      </c>
    </row>
    <row r="547" spans="1:18" x14ac:dyDescent="0.3">
      <c r="A547" s="2">
        <v>543</v>
      </c>
      <c r="B547" s="2">
        <v>0</v>
      </c>
      <c r="C547" s="2">
        <v>30</v>
      </c>
      <c r="D547" s="2">
        <f t="shared" si="97"/>
        <v>900</v>
      </c>
      <c r="E547" s="2">
        <v>58.152099999999997</v>
      </c>
      <c r="F547" s="2">
        <v>176.04169999999999</v>
      </c>
      <c r="G547" s="2">
        <v>0.95794599999999996</v>
      </c>
      <c r="H547" s="2">
        <v>4</v>
      </c>
      <c r="I547" s="3">
        <f t="shared" si="88"/>
        <v>0.27055638996283926</v>
      </c>
      <c r="J547" s="3">
        <f t="shared" si="89"/>
        <v>0.16191463047313392</v>
      </c>
      <c r="K547" s="3">
        <f t="shared" si="90"/>
        <v>-1.6822891957011132</v>
      </c>
      <c r="L547" s="3">
        <f t="shared" si="91"/>
        <v>-0.37509130089069176</v>
      </c>
      <c r="M547" s="3">
        <f t="shared" si="92"/>
        <v>1.6332407487162668</v>
      </c>
      <c r="N547" s="3">
        <f t="shared" si="93"/>
        <v>0.31391471423157125</v>
      </c>
      <c r="O547" s="3">
        <f t="shared" si="94"/>
        <v>-0.19898610234275438</v>
      </c>
      <c r="P547" s="3">
        <f t="shared" si="95"/>
        <v>0.45041697181983487</v>
      </c>
      <c r="Q547" s="3">
        <f t="shared" si="96"/>
        <v>-0.59859541886345857</v>
      </c>
      <c r="R547" s="3">
        <f t="shared" si="98"/>
        <v>-0.45041697181983487</v>
      </c>
    </row>
    <row r="548" spans="1:18" x14ac:dyDescent="0.3">
      <c r="A548" s="2">
        <v>544</v>
      </c>
      <c r="B548" s="2">
        <v>0</v>
      </c>
      <c r="C548" s="2">
        <v>38</v>
      </c>
      <c r="D548" s="2">
        <f t="shared" si="97"/>
        <v>1444</v>
      </c>
      <c r="E548" s="2">
        <v>65.662800000000004</v>
      </c>
      <c r="F548" s="2">
        <v>178.2038</v>
      </c>
      <c r="G548" s="2">
        <v>0.54111399999999998</v>
      </c>
      <c r="H548" s="2">
        <v>4</v>
      </c>
      <c r="I548" s="3">
        <f t="shared" si="88"/>
        <v>1.4941013982741542</v>
      </c>
      <c r="J548" s="3">
        <f t="shared" si="89"/>
        <v>1.6225643324346428</v>
      </c>
      <c r="K548" s="3">
        <f t="shared" si="90"/>
        <v>-0.92306682185829536</v>
      </c>
      <c r="L548" s="3">
        <f t="shared" si="91"/>
        <v>-0.15645266483302456</v>
      </c>
      <c r="M548" s="3">
        <f t="shared" si="92"/>
        <v>0.1767251442800907</v>
      </c>
      <c r="N548" s="3">
        <f t="shared" si="93"/>
        <v>0.31391471423157125</v>
      </c>
      <c r="O548" s="3">
        <f t="shared" si="94"/>
        <v>-9.4806438362345272E-2</v>
      </c>
      <c r="P548" s="3">
        <f t="shared" si="95"/>
        <v>0.47631612748764524</v>
      </c>
      <c r="Q548" s="3">
        <f t="shared" si="96"/>
        <v>-0.64686707344994243</v>
      </c>
      <c r="R548" s="3">
        <f t="shared" si="98"/>
        <v>-0.47631612748764524</v>
      </c>
    </row>
    <row r="549" spans="1:18" x14ac:dyDescent="0.3">
      <c r="A549" s="2">
        <v>545</v>
      </c>
      <c r="B549" s="2">
        <v>0</v>
      </c>
      <c r="C549" s="2">
        <v>27</v>
      </c>
      <c r="D549" s="2">
        <f t="shared" si="97"/>
        <v>729</v>
      </c>
      <c r="E549" s="2">
        <v>85.469200000000001</v>
      </c>
      <c r="F549" s="2">
        <v>172.56870000000001</v>
      </c>
      <c r="G549" s="2">
        <v>0.60509000000000002</v>
      </c>
      <c r="H549" s="2">
        <v>2</v>
      </c>
      <c r="I549" s="3">
        <f t="shared" si="88"/>
        <v>-0.18827298815390386</v>
      </c>
      <c r="J549" s="3">
        <f t="shared" si="89"/>
        <v>-0.29722341922432566</v>
      </c>
      <c r="K549" s="3">
        <f t="shared" si="90"/>
        <v>1.0790717305110404</v>
      </c>
      <c r="L549" s="3">
        <f t="shared" si="91"/>
        <v>-0.72629244007401894</v>
      </c>
      <c r="M549" s="3">
        <f t="shared" si="92"/>
        <v>0.40027334189785724</v>
      </c>
      <c r="N549" s="3">
        <f t="shared" si="93"/>
        <v>-0.86179582596158</v>
      </c>
      <c r="O549" s="3">
        <f t="shared" si="94"/>
        <v>8.2485191381107867E-2</v>
      </c>
      <c r="P549" s="3">
        <f t="shared" si="95"/>
        <v>0.52060961385090609</v>
      </c>
      <c r="Q549" s="3">
        <f t="shared" si="96"/>
        <v>-0.73524001110639436</v>
      </c>
      <c r="R549" s="3">
        <f t="shared" si="98"/>
        <v>-0.52060961385090609</v>
      </c>
    </row>
    <row r="550" spans="1:18" x14ac:dyDescent="0.3">
      <c r="A550" s="2">
        <v>546</v>
      </c>
      <c r="B550" s="2">
        <v>1</v>
      </c>
      <c r="C550" s="2">
        <v>24</v>
      </c>
      <c r="D550" s="2">
        <f t="shared" si="97"/>
        <v>576</v>
      </c>
      <c r="E550" s="2">
        <v>80.6995</v>
      </c>
      <c r="F550" s="2">
        <v>172.03</v>
      </c>
      <c r="G550" s="2">
        <v>0.22048799999999999</v>
      </c>
      <c r="H550" s="2">
        <v>5</v>
      </c>
      <c r="I550" s="3">
        <f t="shared" si="88"/>
        <v>-0.64710236627064699</v>
      </c>
      <c r="J550" s="3">
        <f t="shared" si="89"/>
        <v>-0.70803114790099997</v>
      </c>
      <c r="K550" s="3">
        <f t="shared" si="90"/>
        <v>0.59692453297711079</v>
      </c>
      <c r="L550" s="3">
        <f t="shared" si="91"/>
        <v>-0.78076754910887669</v>
      </c>
      <c r="M550" s="3">
        <f t="shared" si="92"/>
        <v>-0.94362255500392167</v>
      </c>
      <c r="N550" s="3">
        <f t="shared" si="93"/>
        <v>0.90176998432814681</v>
      </c>
      <c r="O550" s="3">
        <f t="shared" si="94"/>
        <v>0.14105100060246431</v>
      </c>
      <c r="P550" s="3">
        <f t="shared" si="95"/>
        <v>0.53520440240109923</v>
      </c>
      <c r="Q550" s="3">
        <f t="shared" si="96"/>
        <v>-0.62510654448988057</v>
      </c>
      <c r="R550" s="3">
        <f t="shared" si="98"/>
        <v>0.46479559759890077</v>
      </c>
    </row>
    <row r="551" spans="1:18" x14ac:dyDescent="0.3">
      <c r="A551" s="2">
        <v>547</v>
      </c>
      <c r="B551" s="2">
        <v>1</v>
      </c>
      <c r="C551" s="2">
        <v>31</v>
      </c>
      <c r="D551" s="2">
        <f t="shared" si="97"/>
        <v>961</v>
      </c>
      <c r="E551" s="2">
        <v>82.214699999999993</v>
      </c>
      <c r="F551" s="2">
        <v>196.7148</v>
      </c>
      <c r="G551" s="2">
        <v>0.62565099999999996</v>
      </c>
      <c r="H551" s="2">
        <v>1</v>
      </c>
      <c r="I551" s="3">
        <f t="shared" si="88"/>
        <v>0.42349951600175367</v>
      </c>
      <c r="J551" s="3">
        <f t="shared" si="89"/>
        <v>0.32570071837690606</v>
      </c>
      <c r="K551" s="3">
        <f t="shared" si="90"/>
        <v>0.75008918352188447</v>
      </c>
      <c r="L551" s="3">
        <f t="shared" si="91"/>
        <v>1.7154403059192345</v>
      </c>
      <c r="M551" s="3">
        <f t="shared" si="92"/>
        <v>0.4721186353081811</v>
      </c>
      <c r="N551" s="3">
        <f t="shared" si="93"/>
        <v>-1.4496510960581555</v>
      </c>
      <c r="O551" s="3">
        <f t="shared" si="94"/>
        <v>7.3863657981442732E-2</v>
      </c>
      <c r="P551" s="3">
        <f t="shared" si="95"/>
        <v>0.51845752348379981</v>
      </c>
      <c r="Q551" s="3">
        <f t="shared" si="96"/>
        <v>-0.65689717658965074</v>
      </c>
      <c r="R551" s="3">
        <f t="shared" si="98"/>
        <v>0.48154247651620019</v>
      </c>
    </row>
    <row r="552" spans="1:18" x14ac:dyDescent="0.3">
      <c r="A552" s="2">
        <v>548</v>
      </c>
      <c r="B552" s="2">
        <v>1</v>
      </c>
      <c r="C552" s="2">
        <v>22</v>
      </c>
      <c r="D552" s="2">
        <f t="shared" si="97"/>
        <v>484</v>
      </c>
      <c r="E552" s="2">
        <v>81.353999999999999</v>
      </c>
      <c r="F552" s="2">
        <v>178.92439999999999</v>
      </c>
      <c r="G552" s="2">
        <v>0.571608</v>
      </c>
      <c r="H552" s="2">
        <v>4</v>
      </c>
      <c r="I552" s="3">
        <f t="shared" si="88"/>
        <v>-0.9529886183484757</v>
      </c>
      <c r="J552" s="3">
        <f t="shared" si="89"/>
        <v>-0.9550527886739022</v>
      </c>
      <c r="K552" s="3">
        <f t="shared" si="90"/>
        <v>0.6630849499395941</v>
      </c>
      <c r="L552" s="3">
        <f t="shared" si="91"/>
        <v>-8.3583231808117192E-2</v>
      </c>
      <c r="M552" s="3">
        <f t="shared" si="92"/>
        <v>0.28327883219674965</v>
      </c>
      <c r="N552" s="3">
        <f t="shared" si="93"/>
        <v>0.31391471423157125</v>
      </c>
      <c r="O552" s="3">
        <f t="shared" si="94"/>
        <v>0.16750501824607791</v>
      </c>
      <c r="P552" s="3">
        <f t="shared" si="95"/>
        <v>0.54177861508630643</v>
      </c>
      <c r="Q552" s="3">
        <f t="shared" si="96"/>
        <v>-0.61289782023505024</v>
      </c>
      <c r="R552" s="3">
        <f t="shared" si="98"/>
        <v>0.45822138491369357</v>
      </c>
    </row>
    <row r="553" spans="1:18" x14ac:dyDescent="0.3">
      <c r="A553" s="2">
        <v>549</v>
      </c>
      <c r="B553" s="2">
        <v>0</v>
      </c>
      <c r="C553" s="2">
        <v>20</v>
      </c>
      <c r="D553" s="2">
        <f t="shared" si="97"/>
        <v>400</v>
      </c>
      <c r="E553" s="2">
        <v>87.897599999999997</v>
      </c>
      <c r="F553" s="2">
        <v>173.0496</v>
      </c>
      <c r="G553" s="2">
        <v>0.184838</v>
      </c>
      <c r="H553" s="2">
        <v>1</v>
      </c>
      <c r="I553" s="3">
        <f t="shared" si="88"/>
        <v>-1.2588748704263044</v>
      </c>
      <c r="J553" s="3">
        <f t="shared" si="89"/>
        <v>-1.1805942867708998</v>
      </c>
      <c r="K553" s="3">
        <f t="shared" si="90"/>
        <v>1.3245475999559515</v>
      </c>
      <c r="L553" s="3">
        <f t="shared" si="91"/>
        <v>-0.67766225641917877</v>
      </c>
      <c r="M553" s="3">
        <f t="shared" si="92"/>
        <v>-1.0681926007253384</v>
      </c>
      <c r="N553" s="3">
        <f t="shared" si="93"/>
        <v>-1.4496510960581555</v>
      </c>
      <c r="O553" s="3">
        <f t="shared" si="94"/>
        <v>0.33753594063580244</v>
      </c>
      <c r="P553" s="3">
        <f t="shared" si="95"/>
        <v>0.58359184956377486</v>
      </c>
      <c r="Q553" s="3">
        <f t="shared" si="96"/>
        <v>-0.87608936885885536</v>
      </c>
      <c r="R553" s="3">
        <f t="shared" si="98"/>
        <v>-0.58359184956377486</v>
      </c>
    </row>
    <row r="554" spans="1:18" x14ac:dyDescent="0.3">
      <c r="A554" s="2">
        <v>550</v>
      </c>
      <c r="B554" s="2">
        <v>0</v>
      </c>
      <c r="C554" s="2">
        <v>28</v>
      </c>
      <c r="D554" s="2">
        <f t="shared" si="97"/>
        <v>784</v>
      </c>
      <c r="E554" s="2">
        <v>72.385999999999996</v>
      </c>
      <c r="F554" s="2">
        <v>179.5883</v>
      </c>
      <c r="G554" s="2">
        <v>5.9587000000000001E-2</v>
      </c>
      <c r="H554" s="2">
        <v>4</v>
      </c>
      <c r="I554" s="3">
        <f t="shared" si="88"/>
        <v>-3.5329862114989473E-2</v>
      </c>
      <c r="J554" s="3">
        <f t="shared" si="89"/>
        <v>-0.14954743832748191</v>
      </c>
      <c r="K554" s="3">
        <f t="shared" si="90"/>
        <v>-0.24344922778317299</v>
      </c>
      <c r="L554" s="3">
        <f t="shared" si="91"/>
        <v>-1.6447488559105886E-2</v>
      </c>
      <c r="M554" s="3">
        <f t="shared" si="92"/>
        <v>-1.5058510241938714</v>
      </c>
      <c r="N554" s="3">
        <f t="shared" si="93"/>
        <v>0.31391471423157125</v>
      </c>
      <c r="O554" s="3">
        <f t="shared" si="94"/>
        <v>6.1465050994334788E-2</v>
      </c>
      <c r="P554" s="3">
        <f t="shared" si="95"/>
        <v>0.51536142682467534</v>
      </c>
      <c r="Q554" s="3">
        <f t="shared" si="96"/>
        <v>-0.72435187579939608</v>
      </c>
      <c r="R554" s="3">
        <f t="shared" si="98"/>
        <v>-0.51536142682467534</v>
      </c>
    </row>
    <row r="555" spans="1:18" x14ac:dyDescent="0.3">
      <c r="A555" s="2">
        <v>551</v>
      </c>
      <c r="B555" s="2">
        <v>1</v>
      </c>
      <c r="C555" s="2">
        <v>28</v>
      </c>
      <c r="D555" s="2">
        <f t="shared" si="97"/>
        <v>784</v>
      </c>
      <c r="E555" s="2">
        <v>76.204999999999998</v>
      </c>
      <c r="F555" s="2">
        <v>185.37090000000001</v>
      </c>
      <c r="G555" s="2">
        <v>0.60435899999999998</v>
      </c>
      <c r="H555" s="2">
        <v>5</v>
      </c>
      <c r="I555" s="3">
        <f t="shared" si="88"/>
        <v>-3.5329862114989473E-2</v>
      </c>
      <c r="J555" s="3">
        <f t="shared" si="89"/>
        <v>-0.14954743832748191</v>
      </c>
      <c r="K555" s="3">
        <f t="shared" si="90"/>
        <v>0.142596047052158</v>
      </c>
      <c r="L555" s="3">
        <f t="shared" si="91"/>
        <v>0.56830796996134247</v>
      </c>
      <c r="M555" s="3">
        <f t="shared" si="92"/>
        <v>0.39771904446665496</v>
      </c>
      <c r="N555" s="3">
        <f t="shared" si="93"/>
        <v>0.90176998432814681</v>
      </c>
      <c r="O555" s="3">
        <f t="shared" si="94"/>
        <v>1.1227470142030429E-2</v>
      </c>
      <c r="P555" s="3">
        <f t="shared" si="95"/>
        <v>0.50280683805065141</v>
      </c>
      <c r="Q555" s="3">
        <f t="shared" si="96"/>
        <v>-0.68754920241689332</v>
      </c>
      <c r="R555" s="3">
        <f t="shared" si="98"/>
        <v>0.49719316194934859</v>
      </c>
    </row>
    <row r="556" spans="1:18" x14ac:dyDescent="0.3">
      <c r="A556" s="2">
        <v>552</v>
      </c>
      <c r="B556" s="2">
        <v>0</v>
      </c>
      <c r="C556" s="2">
        <v>35</v>
      </c>
      <c r="D556" s="2">
        <f t="shared" si="97"/>
        <v>1225</v>
      </c>
      <c r="E556" s="2">
        <v>64.713300000000004</v>
      </c>
      <c r="F556" s="2">
        <v>180.5163</v>
      </c>
      <c r="G556" s="2">
        <v>0.76369200000000004</v>
      </c>
      <c r="H556" s="2">
        <v>6</v>
      </c>
      <c r="I556" s="3">
        <f t="shared" si="88"/>
        <v>1.0352720201574113</v>
      </c>
      <c r="J556" s="3">
        <f t="shared" si="89"/>
        <v>1.034545426681756</v>
      </c>
      <c r="K556" s="3">
        <f t="shared" si="90"/>
        <v>-1.0190474420353435</v>
      </c>
      <c r="L556" s="3">
        <f t="shared" si="91"/>
        <v>7.7394912005860433E-2</v>
      </c>
      <c r="M556" s="3">
        <f t="shared" si="92"/>
        <v>0.95446852819542183</v>
      </c>
      <c r="N556" s="3">
        <f t="shared" si="93"/>
        <v>1.4896252544247224</v>
      </c>
      <c r="O556" s="3">
        <f t="shared" si="94"/>
        <v>-0.15635787878874061</v>
      </c>
      <c r="P556" s="3">
        <f t="shared" si="95"/>
        <v>0.46098997367036459</v>
      </c>
      <c r="Q556" s="3">
        <f t="shared" si="96"/>
        <v>-0.61802110652140896</v>
      </c>
      <c r="R556" s="3">
        <f t="shared" si="98"/>
        <v>-0.46098997367036459</v>
      </c>
    </row>
    <row r="557" spans="1:18" x14ac:dyDescent="0.3">
      <c r="A557" s="2">
        <v>553</v>
      </c>
      <c r="B557" s="2">
        <v>0</v>
      </c>
      <c r="C557" s="2">
        <v>32</v>
      </c>
      <c r="D557" s="2">
        <f t="shared" si="97"/>
        <v>1024</v>
      </c>
      <c r="E557" s="2">
        <v>62.219799999999999</v>
      </c>
      <c r="F557" s="2">
        <v>177.9427</v>
      </c>
      <c r="G557" s="2">
        <v>0.52340100000000001</v>
      </c>
      <c r="H557" s="2">
        <v>4</v>
      </c>
      <c r="I557" s="3">
        <f t="shared" si="88"/>
        <v>0.57644264204066809</v>
      </c>
      <c r="J557" s="3">
        <f t="shared" si="89"/>
        <v>0.49485684194965435</v>
      </c>
      <c r="K557" s="3">
        <f t="shared" si="90"/>
        <v>-1.2711039732743847</v>
      </c>
      <c r="L557" s="3">
        <f t="shared" si="91"/>
        <v>-0.18285595231956839</v>
      </c>
      <c r="M557" s="3">
        <f t="shared" si="92"/>
        <v>0.11483147752375251</v>
      </c>
      <c r="N557" s="3">
        <f t="shared" si="93"/>
        <v>0.31391471423157125</v>
      </c>
      <c r="O557" s="3">
        <f t="shared" si="94"/>
        <v>-0.11893488883360884</v>
      </c>
      <c r="P557" s="3">
        <f t="shared" si="95"/>
        <v>0.47030127816586492</v>
      </c>
      <c r="Q557" s="3">
        <f t="shared" si="96"/>
        <v>-0.63544688343412348</v>
      </c>
      <c r="R557" s="3">
        <f t="shared" si="98"/>
        <v>-0.47030127816586492</v>
      </c>
    </row>
    <row r="558" spans="1:18" x14ac:dyDescent="0.3">
      <c r="A558" s="2">
        <v>554</v>
      </c>
      <c r="B558" s="2">
        <v>1</v>
      </c>
      <c r="C558" s="2">
        <v>29</v>
      </c>
      <c r="D558" s="2">
        <f t="shared" si="97"/>
        <v>841</v>
      </c>
      <c r="E558" s="2">
        <v>58.562600000000003</v>
      </c>
      <c r="F558" s="2">
        <v>173.49979999999999</v>
      </c>
      <c r="G558" s="2">
        <v>0.226773</v>
      </c>
      <c r="H558" s="2">
        <v>6</v>
      </c>
      <c r="I558" s="3">
        <f t="shared" si="88"/>
        <v>0.1176132639239249</v>
      </c>
      <c r="J558" s="3">
        <f t="shared" si="89"/>
        <v>3.4985782383379449E-3</v>
      </c>
      <c r="K558" s="3">
        <f t="shared" si="90"/>
        <v>-1.6407936247872861</v>
      </c>
      <c r="L558" s="3">
        <f t="shared" si="91"/>
        <v>-0.63213655735199392</v>
      </c>
      <c r="M558" s="3">
        <f t="shared" si="92"/>
        <v>-0.92166118789707419</v>
      </c>
      <c r="N558" s="3">
        <f t="shared" si="93"/>
        <v>1.4896252544247224</v>
      </c>
      <c r="O558" s="3">
        <f t="shared" si="94"/>
        <v>-9.8898283387220412E-2</v>
      </c>
      <c r="P558" s="3">
        <f t="shared" si="95"/>
        <v>0.475295561780675</v>
      </c>
      <c r="Q558" s="3">
        <f t="shared" si="96"/>
        <v>-0.74381843312789298</v>
      </c>
      <c r="R558" s="3">
        <f t="shared" si="98"/>
        <v>0.524704438219325</v>
      </c>
    </row>
    <row r="559" spans="1:18" x14ac:dyDescent="0.3">
      <c r="A559" s="2">
        <v>555</v>
      </c>
      <c r="B559" s="2">
        <v>1</v>
      </c>
      <c r="C559" s="2">
        <v>26</v>
      </c>
      <c r="D559" s="2">
        <f t="shared" si="97"/>
        <v>676</v>
      </c>
      <c r="E559" s="2">
        <v>66.148399999999995</v>
      </c>
      <c r="F559" s="2">
        <v>173.37870000000001</v>
      </c>
      <c r="G559" s="2">
        <v>0.66652199999999995</v>
      </c>
      <c r="H559" s="2">
        <v>4</v>
      </c>
      <c r="I559" s="3">
        <f t="shared" si="88"/>
        <v>-0.34121611419281822</v>
      </c>
      <c r="J559" s="3">
        <f t="shared" si="89"/>
        <v>-0.43952936445219321</v>
      </c>
      <c r="K559" s="3">
        <f t="shared" si="90"/>
        <v>-0.87397973480408397</v>
      </c>
      <c r="L559" s="3">
        <f t="shared" si="91"/>
        <v>-0.64438258613261457</v>
      </c>
      <c r="M559" s="3">
        <f t="shared" si="92"/>
        <v>0.6149321651449281</v>
      </c>
      <c r="N559" s="3">
        <f t="shared" si="93"/>
        <v>0.31391471423157125</v>
      </c>
      <c r="O559" s="3">
        <f t="shared" si="94"/>
        <v>-5.1661749067723237E-2</v>
      </c>
      <c r="P559" s="3">
        <f t="shared" si="95"/>
        <v>0.48708743450657754</v>
      </c>
      <c r="Q559" s="3">
        <f t="shared" si="96"/>
        <v>-0.71931163503988926</v>
      </c>
      <c r="R559" s="3">
        <f t="shared" si="98"/>
        <v>0.51291256549342246</v>
      </c>
    </row>
    <row r="560" spans="1:18" x14ac:dyDescent="0.3">
      <c r="A560" s="2">
        <v>556</v>
      </c>
      <c r="B560" s="2">
        <v>1</v>
      </c>
      <c r="C560" s="2">
        <v>27</v>
      </c>
      <c r="D560" s="2">
        <f t="shared" si="97"/>
        <v>729</v>
      </c>
      <c r="E560" s="2">
        <v>90.525599999999997</v>
      </c>
      <c r="F560" s="2">
        <v>174.02189999999999</v>
      </c>
      <c r="G560" s="2">
        <v>8.0105999999999997E-2</v>
      </c>
      <c r="H560" s="2">
        <v>3</v>
      </c>
      <c r="I560" s="3">
        <f t="shared" si="88"/>
        <v>-0.18827298815390386</v>
      </c>
      <c r="J560" s="3">
        <f t="shared" si="89"/>
        <v>-0.29722341922432566</v>
      </c>
      <c r="K560" s="3">
        <f t="shared" si="90"/>
        <v>1.5902001221521416</v>
      </c>
      <c r="L560" s="3">
        <f t="shared" si="91"/>
        <v>-0.57934009470655368</v>
      </c>
      <c r="M560" s="3">
        <f t="shared" si="92"/>
        <v>-1.434152489322686</v>
      </c>
      <c r="N560" s="3">
        <f t="shared" si="93"/>
        <v>-0.27394055586500432</v>
      </c>
      <c r="O560" s="3">
        <f t="shared" si="94"/>
        <v>0.18916690493741825</v>
      </c>
      <c r="P560" s="3">
        <f t="shared" si="95"/>
        <v>0.54715120466461897</v>
      </c>
      <c r="Q560" s="3">
        <f t="shared" si="96"/>
        <v>-0.60303008941195024</v>
      </c>
      <c r="R560" s="3">
        <f t="shared" si="98"/>
        <v>0.45284879533538103</v>
      </c>
    </row>
    <row r="561" spans="1:18" x14ac:dyDescent="0.3">
      <c r="A561" s="2">
        <v>557</v>
      </c>
      <c r="B561" s="2">
        <v>0</v>
      </c>
      <c r="C561" s="2">
        <v>29</v>
      </c>
      <c r="D561" s="2">
        <f t="shared" si="97"/>
        <v>841</v>
      </c>
      <c r="E561" s="2">
        <v>59.472700000000003</v>
      </c>
      <c r="F561" s="2">
        <v>183.38810000000001</v>
      </c>
      <c r="G561" s="2">
        <v>0.441834</v>
      </c>
      <c r="H561" s="2">
        <v>5</v>
      </c>
      <c r="I561" s="3">
        <f t="shared" si="88"/>
        <v>0.1176132639239249</v>
      </c>
      <c r="J561" s="3">
        <f t="shared" si="89"/>
        <v>3.4985782383379449E-3</v>
      </c>
      <c r="K561" s="3">
        <f t="shared" si="90"/>
        <v>-1.5487957707344884</v>
      </c>
      <c r="L561" s="3">
        <f t="shared" si="91"/>
        <v>0.36780073737490332</v>
      </c>
      <c r="M561" s="3">
        <f t="shared" si="92"/>
        <v>-0.17018408823666314</v>
      </c>
      <c r="N561" s="3">
        <f t="shared" si="93"/>
        <v>0.90176998432814681</v>
      </c>
      <c r="O561" s="3">
        <f t="shared" si="94"/>
        <v>-9.3430712548512374E-2</v>
      </c>
      <c r="P561" s="3">
        <f t="shared" si="95"/>
        <v>0.47665929838822363</v>
      </c>
      <c r="Q561" s="3">
        <f t="shared" si="96"/>
        <v>-0.64752258989405997</v>
      </c>
      <c r="R561" s="3">
        <f t="shared" si="98"/>
        <v>-0.47665929838822363</v>
      </c>
    </row>
    <row r="562" spans="1:18" x14ac:dyDescent="0.3">
      <c r="A562" s="2">
        <v>558</v>
      </c>
      <c r="B562" s="2">
        <v>0</v>
      </c>
      <c r="C562" s="2">
        <v>34</v>
      </c>
      <c r="D562" s="2">
        <f t="shared" si="97"/>
        <v>1156</v>
      </c>
      <c r="E562" s="2">
        <v>71.964600000000004</v>
      </c>
      <c r="F562" s="2">
        <v>170.0582</v>
      </c>
      <c r="G562" s="2">
        <v>0.16336700000000001</v>
      </c>
      <c r="H562" s="2">
        <v>2</v>
      </c>
      <c r="I562" s="3">
        <f t="shared" si="88"/>
        <v>0.8823288941184968</v>
      </c>
      <c r="J562" s="3">
        <f t="shared" si="89"/>
        <v>0.84927919610207925</v>
      </c>
      <c r="K562" s="3">
        <f t="shared" si="90"/>
        <v>-0.2860466299344181</v>
      </c>
      <c r="L562" s="3">
        <f t="shared" si="91"/>
        <v>-0.98016242565413669</v>
      </c>
      <c r="M562" s="3">
        <f t="shared" si="92"/>
        <v>-1.1432176624836707</v>
      </c>
      <c r="N562" s="3">
        <f t="shared" si="93"/>
        <v>-0.86179582596158</v>
      </c>
      <c r="O562" s="3">
        <f t="shared" si="94"/>
        <v>-1.0365754021391742E-2</v>
      </c>
      <c r="P562" s="3">
        <f t="shared" si="95"/>
        <v>0.4974085846983281</v>
      </c>
      <c r="Q562" s="3">
        <f t="shared" si="96"/>
        <v>-0.68797773459617229</v>
      </c>
      <c r="R562" s="3">
        <f t="shared" si="98"/>
        <v>-0.4974085846983281</v>
      </c>
    </row>
    <row r="563" spans="1:18" x14ac:dyDescent="0.3">
      <c r="A563" s="2">
        <v>559</v>
      </c>
      <c r="B563" s="2">
        <v>0</v>
      </c>
      <c r="C563" s="2">
        <v>23</v>
      </c>
      <c r="D563" s="2">
        <f t="shared" si="97"/>
        <v>529</v>
      </c>
      <c r="E563" s="2">
        <v>62.0685</v>
      </c>
      <c r="F563" s="2">
        <v>183.93270000000001</v>
      </c>
      <c r="G563" s="2">
        <v>0.18445900000000001</v>
      </c>
      <c r="H563" s="2">
        <v>6</v>
      </c>
      <c r="I563" s="3">
        <f t="shared" si="88"/>
        <v>-0.80004549230956135</v>
      </c>
      <c r="J563" s="3">
        <f t="shared" si="89"/>
        <v>-0.83422698612193913</v>
      </c>
      <c r="K563" s="3">
        <f t="shared" si="90"/>
        <v>-1.2863981995332445</v>
      </c>
      <c r="L563" s="3">
        <f t="shared" si="91"/>
        <v>0.42287247374093895</v>
      </c>
      <c r="M563" s="3">
        <f t="shared" si="92"/>
        <v>-1.0695169218285199</v>
      </c>
      <c r="N563" s="3">
        <f t="shared" si="93"/>
        <v>1.4896252544247224</v>
      </c>
      <c r="O563" s="3">
        <f t="shared" si="94"/>
        <v>6.6523154795512712E-2</v>
      </c>
      <c r="P563" s="3">
        <f t="shared" si="95"/>
        <v>0.51662465835089411</v>
      </c>
      <c r="Q563" s="3">
        <f t="shared" si="96"/>
        <v>-0.72696182225563755</v>
      </c>
      <c r="R563" s="3">
        <f t="shared" si="98"/>
        <v>-0.51662465835089411</v>
      </c>
    </row>
    <row r="564" spans="1:18" x14ac:dyDescent="0.3">
      <c r="A564" s="2">
        <v>560</v>
      </c>
      <c r="B564" s="2">
        <v>0</v>
      </c>
      <c r="C564" s="2">
        <v>24</v>
      </c>
      <c r="D564" s="2">
        <f t="shared" si="97"/>
        <v>576</v>
      </c>
      <c r="E564" s="2">
        <v>68.990300000000005</v>
      </c>
      <c r="F564" s="2">
        <v>194.12989999999999</v>
      </c>
      <c r="G564" s="2">
        <v>0.202294</v>
      </c>
      <c r="H564" s="2">
        <v>2</v>
      </c>
      <c r="I564" s="3">
        <f t="shared" si="88"/>
        <v>-0.64710236627064699</v>
      </c>
      <c r="J564" s="3">
        <f t="shared" si="89"/>
        <v>-0.70803114790099997</v>
      </c>
      <c r="K564" s="3">
        <f t="shared" si="90"/>
        <v>-0.58670503814146813</v>
      </c>
      <c r="L564" s="3">
        <f t="shared" si="91"/>
        <v>1.4540467485696842</v>
      </c>
      <c r="M564" s="3">
        <f t="shared" si="92"/>
        <v>-1.0071969564584926</v>
      </c>
      <c r="N564" s="3">
        <f t="shared" si="93"/>
        <v>-0.86179582596158</v>
      </c>
      <c r="O564" s="3">
        <f t="shared" si="94"/>
        <v>0.14254731590244857</v>
      </c>
      <c r="P564" s="3">
        <f t="shared" si="95"/>
        <v>0.53557660709177546</v>
      </c>
      <c r="Q564" s="3">
        <f t="shared" si="96"/>
        <v>-0.76695865810097874</v>
      </c>
      <c r="R564" s="3">
        <f t="shared" si="98"/>
        <v>-0.53557660709177546</v>
      </c>
    </row>
    <row r="565" spans="1:18" x14ac:dyDescent="0.3">
      <c r="A565" s="2">
        <v>561</v>
      </c>
      <c r="B565" s="2">
        <v>0</v>
      </c>
      <c r="C565" s="2">
        <v>31</v>
      </c>
      <c r="D565" s="2">
        <f t="shared" si="97"/>
        <v>961</v>
      </c>
      <c r="E565" s="2">
        <v>76.696899999999999</v>
      </c>
      <c r="F565" s="2">
        <v>183.25710000000001</v>
      </c>
      <c r="G565" s="2">
        <v>0.38670700000000002</v>
      </c>
      <c r="H565" s="2">
        <v>5</v>
      </c>
      <c r="I565" s="3">
        <f t="shared" si="88"/>
        <v>0.42349951600175367</v>
      </c>
      <c r="J565" s="3">
        <f t="shared" si="89"/>
        <v>0.32570071837690606</v>
      </c>
      <c r="K565" s="3">
        <f t="shared" si="90"/>
        <v>0.19231997234451192</v>
      </c>
      <c r="L565" s="3">
        <f t="shared" si="91"/>
        <v>0.35455358815721943</v>
      </c>
      <c r="M565" s="3">
        <f t="shared" si="92"/>
        <v>-0.36281165935824944</v>
      </c>
      <c r="N565" s="3">
        <f t="shared" si="93"/>
        <v>0.90176998432814681</v>
      </c>
      <c r="O565" s="3">
        <f t="shared" si="94"/>
        <v>8.4490033967707517E-3</v>
      </c>
      <c r="P565" s="3">
        <f t="shared" si="95"/>
        <v>0.50211223828391427</v>
      </c>
      <c r="Q565" s="3">
        <f t="shared" si="96"/>
        <v>-0.69738060543908942</v>
      </c>
      <c r="R565" s="3">
        <f t="shared" si="98"/>
        <v>-0.50211223828391427</v>
      </c>
    </row>
    <row r="566" spans="1:18" x14ac:dyDescent="0.3">
      <c r="A566" s="2">
        <v>562</v>
      </c>
      <c r="B566" s="2">
        <v>1</v>
      </c>
      <c r="C566" s="2">
        <v>30</v>
      </c>
      <c r="D566" s="2">
        <f t="shared" si="97"/>
        <v>900</v>
      </c>
      <c r="E566" s="2">
        <v>67.998800000000003</v>
      </c>
      <c r="F566" s="2">
        <v>176.30410000000001</v>
      </c>
      <c r="G566" s="2">
        <v>5.1150000000000001E-2</v>
      </c>
      <c r="H566" s="2">
        <v>2</v>
      </c>
      <c r="I566" s="3">
        <f t="shared" si="88"/>
        <v>0.27055638996283926</v>
      </c>
      <c r="J566" s="3">
        <f t="shared" si="89"/>
        <v>0.16191463047313392</v>
      </c>
      <c r="K566" s="3">
        <f t="shared" si="90"/>
        <v>-0.68693124657279336</v>
      </c>
      <c r="L566" s="3">
        <f t="shared" si="91"/>
        <v>-0.34855655314473427</v>
      </c>
      <c r="M566" s="3">
        <f t="shared" si="92"/>
        <v>-1.5353320193061182</v>
      </c>
      <c r="N566" s="3">
        <f t="shared" si="93"/>
        <v>-0.86179582596158</v>
      </c>
      <c r="O566" s="3">
        <f t="shared" si="94"/>
        <v>1.7944111878594758E-2</v>
      </c>
      <c r="P566" s="3">
        <f t="shared" si="95"/>
        <v>0.50448590760174861</v>
      </c>
      <c r="Q566" s="3">
        <f t="shared" si="96"/>
        <v>-0.68421537297455726</v>
      </c>
      <c r="R566" s="3">
        <f t="shared" si="98"/>
        <v>0.49551409239825139</v>
      </c>
    </row>
    <row r="567" spans="1:18" x14ac:dyDescent="0.3">
      <c r="A567" s="2">
        <v>563</v>
      </c>
      <c r="B567" s="2">
        <v>0</v>
      </c>
      <c r="C567" s="2">
        <v>25</v>
      </c>
      <c r="D567" s="2">
        <f t="shared" si="97"/>
        <v>625</v>
      </c>
      <c r="E567" s="2">
        <v>85.896600000000007</v>
      </c>
      <c r="F567" s="2">
        <v>167.0187</v>
      </c>
      <c r="G567" s="2">
        <v>0.39779300000000001</v>
      </c>
      <c r="H567" s="2">
        <v>5</v>
      </c>
      <c r="I567" s="3">
        <f t="shared" si="88"/>
        <v>-0.49415924023173263</v>
      </c>
      <c r="J567" s="3">
        <f t="shared" si="89"/>
        <v>-0.57646527401108472</v>
      </c>
      <c r="K567" s="3">
        <f t="shared" si="90"/>
        <v>1.1222756452700409</v>
      </c>
      <c r="L567" s="3">
        <f t="shared" si="91"/>
        <v>-1.287526624487344</v>
      </c>
      <c r="M567" s="3">
        <f t="shared" si="92"/>
        <v>-0.32407439352746048</v>
      </c>
      <c r="N567" s="3">
        <f t="shared" si="93"/>
        <v>0.90176998432814681</v>
      </c>
      <c r="O567" s="3">
        <f t="shared" si="94"/>
        <v>0.11565205041475013</v>
      </c>
      <c r="P567" s="3">
        <f t="shared" si="95"/>
        <v>0.5288808287322696</v>
      </c>
      <c r="Q567" s="3">
        <f t="shared" si="96"/>
        <v>-0.7526441994156946</v>
      </c>
      <c r="R567" s="3">
        <f t="shared" si="98"/>
        <v>-0.5288808287322696</v>
      </c>
    </row>
    <row r="568" spans="1:18" x14ac:dyDescent="0.3">
      <c r="A568" s="2">
        <v>564</v>
      </c>
      <c r="B568" s="2">
        <v>0</v>
      </c>
      <c r="C568" s="2">
        <v>27</v>
      </c>
      <c r="D568" s="2">
        <f t="shared" si="97"/>
        <v>729</v>
      </c>
      <c r="E568" s="2">
        <v>90.339799999999997</v>
      </c>
      <c r="F568" s="2">
        <v>195.78110000000001</v>
      </c>
      <c r="G568" s="2">
        <v>0.51170700000000002</v>
      </c>
      <c r="H568" s="2">
        <v>2</v>
      </c>
      <c r="I568" s="3">
        <f t="shared" si="88"/>
        <v>-0.18827298815390386</v>
      </c>
      <c r="J568" s="3">
        <f t="shared" si="89"/>
        <v>-0.29722341922432566</v>
      </c>
      <c r="K568" s="3">
        <f t="shared" si="90"/>
        <v>1.571418448398697</v>
      </c>
      <c r="L568" s="3">
        <f t="shared" si="91"/>
        <v>1.6210215026783852</v>
      </c>
      <c r="M568" s="3">
        <f t="shared" si="92"/>
        <v>7.3969707126382317E-2</v>
      </c>
      <c r="N568" s="3">
        <f t="shared" si="93"/>
        <v>-0.86179582596158</v>
      </c>
      <c r="O568" s="3">
        <f t="shared" si="94"/>
        <v>0.18303814165895055</v>
      </c>
      <c r="P568" s="3">
        <f t="shared" si="95"/>
        <v>0.54563220532920598</v>
      </c>
      <c r="Q568" s="3">
        <f t="shared" si="96"/>
        <v>-0.78884828849096711</v>
      </c>
      <c r="R568" s="3">
        <f t="shared" si="98"/>
        <v>-0.54563220532920598</v>
      </c>
    </row>
    <row r="569" spans="1:18" x14ac:dyDescent="0.3">
      <c r="A569" s="2">
        <v>565</v>
      </c>
      <c r="B569" s="2">
        <v>0</v>
      </c>
      <c r="C569" s="2">
        <v>26</v>
      </c>
      <c r="D569" s="2">
        <f t="shared" si="97"/>
        <v>676</v>
      </c>
      <c r="E569" s="2">
        <v>52.509</v>
      </c>
      <c r="F569" s="2">
        <v>168.2998</v>
      </c>
      <c r="G569" s="2">
        <v>0.483294</v>
      </c>
      <c r="H569" s="2">
        <v>6</v>
      </c>
      <c r="I569" s="3">
        <f t="shared" si="88"/>
        <v>-0.34121611419281822</v>
      </c>
      <c r="J569" s="3">
        <f t="shared" si="89"/>
        <v>-0.43952936445219321</v>
      </c>
      <c r="K569" s="3">
        <f t="shared" si="90"/>
        <v>-2.2527244118370788</v>
      </c>
      <c r="L569" s="3">
        <f t="shared" si="91"/>
        <v>-1.1579775950005124</v>
      </c>
      <c r="M569" s="3">
        <f t="shared" si="92"/>
        <v>-2.5312444601040495E-2</v>
      </c>
      <c r="N569" s="3">
        <f t="shared" si="93"/>
        <v>1.4896252544247224</v>
      </c>
      <c r="O569" s="3">
        <f t="shared" si="94"/>
        <v>-0.14313914000513833</v>
      </c>
      <c r="P569" s="3">
        <f t="shared" si="95"/>
        <v>0.46427618905503082</v>
      </c>
      <c r="Q569" s="3">
        <f t="shared" si="96"/>
        <v>-0.62413652880045478</v>
      </c>
      <c r="R569" s="3">
        <f t="shared" si="98"/>
        <v>-0.46427618905503082</v>
      </c>
    </row>
    <row r="570" spans="1:18" x14ac:dyDescent="0.3">
      <c r="A570" s="2">
        <v>566</v>
      </c>
      <c r="B570" s="2">
        <v>1</v>
      </c>
      <c r="C570" s="2">
        <v>35</v>
      </c>
      <c r="D570" s="2">
        <f t="shared" si="97"/>
        <v>1225</v>
      </c>
      <c r="E570" s="2">
        <v>68.170100000000005</v>
      </c>
      <c r="F570" s="2">
        <v>188.48560000000001</v>
      </c>
      <c r="G570" s="2">
        <v>0.38278400000000001</v>
      </c>
      <c r="H570" s="2">
        <v>3</v>
      </c>
      <c r="I570" s="3">
        <f t="shared" si="88"/>
        <v>1.0352720201574113</v>
      </c>
      <c r="J570" s="3">
        <f t="shared" si="89"/>
        <v>1.034545426681756</v>
      </c>
      <c r="K570" s="3">
        <f t="shared" si="90"/>
        <v>-0.66961531162142052</v>
      </c>
      <c r="L570" s="3">
        <f t="shared" si="91"/>
        <v>0.88327663918515864</v>
      </c>
      <c r="M570" s="3">
        <f t="shared" si="92"/>
        <v>-0.37651960576400312</v>
      </c>
      <c r="N570" s="3">
        <f t="shared" si="93"/>
        <v>-0.27394055586500432</v>
      </c>
      <c r="O570" s="3">
        <f t="shared" si="94"/>
        <v>-3.361057649581297E-2</v>
      </c>
      <c r="P570" s="3">
        <f t="shared" si="95"/>
        <v>0.49159814680521041</v>
      </c>
      <c r="Q570" s="3">
        <f t="shared" si="96"/>
        <v>-0.71009367101825283</v>
      </c>
      <c r="R570" s="3">
        <f t="shared" si="98"/>
        <v>0.50840185319478959</v>
      </c>
    </row>
    <row r="571" spans="1:18" x14ac:dyDescent="0.3">
      <c r="A571" s="2">
        <v>567</v>
      </c>
      <c r="B571" s="2">
        <v>1</v>
      </c>
      <c r="C571" s="2">
        <v>19</v>
      </c>
      <c r="D571" s="2">
        <f t="shared" si="97"/>
        <v>361</v>
      </c>
      <c r="E571" s="2">
        <v>75.591399999999993</v>
      </c>
      <c r="F571" s="2">
        <v>186.3852</v>
      </c>
      <c r="G571" s="2">
        <v>0.83914699999999998</v>
      </c>
      <c r="H571" s="2">
        <v>2</v>
      </c>
      <c r="I571" s="3">
        <f t="shared" si="88"/>
        <v>-1.4118179964652189</v>
      </c>
      <c r="J571" s="3">
        <f t="shared" si="89"/>
        <v>-1.2853099823159346</v>
      </c>
      <c r="K571" s="3">
        <f t="shared" si="90"/>
        <v>8.0570024365862913E-2</v>
      </c>
      <c r="L571" s="3">
        <f t="shared" si="91"/>
        <v>0.67087730928574418</v>
      </c>
      <c r="M571" s="3">
        <f t="shared" si="92"/>
        <v>1.2181272322602046</v>
      </c>
      <c r="N571" s="3">
        <f t="shared" si="93"/>
        <v>-0.86179582596158</v>
      </c>
      <c r="O571" s="3">
        <f t="shared" si="94"/>
        <v>0.21426338967351299</v>
      </c>
      <c r="P571" s="3">
        <f t="shared" si="95"/>
        <v>0.55336185522223202</v>
      </c>
      <c r="Q571" s="3">
        <f t="shared" si="96"/>
        <v>-0.59174314204573863</v>
      </c>
      <c r="R571" s="3">
        <f t="shared" si="98"/>
        <v>0.44663814477776798</v>
      </c>
    </row>
    <row r="572" spans="1:18" x14ac:dyDescent="0.3">
      <c r="A572" s="2">
        <v>568</v>
      </c>
      <c r="B572" s="2">
        <v>1</v>
      </c>
      <c r="C572" s="2">
        <v>22</v>
      </c>
      <c r="D572" s="2">
        <f t="shared" si="97"/>
        <v>484</v>
      </c>
      <c r="E572" s="2">
        <v>86.261200000000002</v>
      </c>
      <c r="F572" s="2">
        <v>177.63229999999999</v>
      </c>
      <c r="G572" s="2">
        <v>0.14532700000000001</v>
      </c>
      <c r="H572" s="2">
        <v>6</v>
      </c>
      <c r="I572" s="3">
        <f t="shared" si="88"/>
        <v>-0.9529886183484757</v>
      </c>
      <c r="J572" s="3">
        <f t="shared" si="89"/>
        <v>-0.9550527886739022</v>
      </c>
      <c r="K572" s="3">
        <f t="shared" si="90"/>
        <v>1.1591313947345498</v>
      </c>
      <c r="L572" s="3">
        <f t="shared" si="91"/>
        <v>-0.21424461733612776</v>
      </c>
      <c r="M572" s="3">
        <f t="shared" si="92"/>
        <v>-1.2062539492947326</v>
      </c>
      <c r="N572" s="3">
        <f t="shared" si="93"/>
        <v>1.4896252544247224</v>
      </c>
      <c r="O572" s="3">
        <f t="shared" si="94"/>
        <v>0.24390779903260965</v>
      </c>
      <c r="P572" s="3">
        <f t="shared" si="95"/>
        <v>0.56067643901734543</v>
      </c>
      <c r="Q572" s="3">
        <f t="shared" si="96"/>
        <v>-0.57861129739289263</v>
      </c>
      <c r="R572" s="3">
        <f t="shared" si="98"/>
        <v>0.43932356098265457</v>
      </c>
    </row>
    <row r="573" spans="1:18" x14ac:dyDescent="0.3">
      <c r="A573" s="2">
        <v>569</v>
      </c>
      <c r="B573" s="2">
        <v>0</v>
      </c>
      <c r="C573" s="2">
        <v>22</v>
      </c>
      <c r="D573" s="2">
        <f t="shared" si="97"/>
        <v>484</v>
      </c>
      <c r="E573" s="2">
        <v>70.457599999999999</v>
      </c>
      <c r="F573" s="2">
        <v>177.37020000000001</v>
      </c>
      <c r="G573" s="2">
        <v>0.50569699999999995</v>
      </c>
      <c r="H573" s="2">
        <v>4</v>
      </c>
      <c r="I573" s="3">
        <f t="shared" si="88"/>
        <v>-0.9529886183484757</v>
      </c>
      <c r="J573" s="3">
        <f t="shared" si="89"/>
        <v>-0.9550527886739022</v>
      </c>
      <c r="K573" s="3">
        <f t="shared" si="90"/>
        <v>-0.43838237991526263</v>
      </c>
      <c r="L573" s="3">
        <f t="shared" si="91"/>
        <v>-0.24074902809914006</v>
      </c>
      <c r="M573" s="3">
        <f t="shared" si="92"/>
        <v>5.296925902580097E-2</v>
      </c>
      <c r="N573" s="3">
        <f t="shared" si="93"/>
        <v>0.31391471423157125</v>
      </c>
      <c r="O573" s="3">
        <f t="shared" si="94"/>
        <v>0.10143945905810857</v>
      </c>
      <c r="P573" s="3">
        <f t="shared" si="95"/>
        <v>0.52533814111016774</v>
      </c>
      <c r="Q573" s="3">
        <f t="shared" si="96"/>
        <v>-0.74515260447295262</v>
      </c>
      <c r="R573" s="3">
        <f t="shared" si="98"/>
        <v>-0.52533814111016774</v>
      </c>
    </row>
    <row r="574" spans="1:18" x14ac:dyDescent="0.3">
      <c r="A574" s="2">
        <v>570</v>
      </c>
      <c r="B574" s="2">
        <v>1</v>
      </c>
      <c r="C574" s="2">
        <v>23</v>
      </c>
      <c r="D574" s="2">
        <f t="shared" si="97"/>
        <v>529</v>
      </c>
      <c r="E574" s="2">
        <v>74.800600000000003</v>
      </c>
      <c r="F574" s="2">
        <v>161.6429</v>
      </c>
      <c r="G574" s="2">
        <v>6.2040999999999999E-2</v>
      </c>
      <c r="H574" s="2">
        <v>5</v>
      </c>
      <c r="I574" s="3">
        <f t="shared" si="88"/>
        <v>-0.80004549230956135</v>
      </c>
      <c r="J574" s="3">
        <f t="shared" si="89"/>
        <v>-0.83422698612193913</v>
      </c>
      <c r="K574" s="3">
        <f t="shared" si="90"/>
        <v>6.3166266390540066E-4</v>
      </c>
      <c r="L574" s="3">
        <f t="shared" si="91"/>
        <v>-1.8311451341394422</v>
      </c>
      <c r="M574" s="3">
        <f t="shared" si="92"/>
        <v>-1.4972761324070452</v>
      </c>
      <c r="N574" s="3">
        <f t="shared" si="93"/>
        <v>0.90176998432814681</v>
      </c>
      <c r="O574" s="3">
        <f t="shared" si="94"/>
        <v>0.12503202115127898</v>
      </c>
      <c r="P574" s="3">
        <f t="shared" si="95"/>
        <v>0.5312173474642049</v>
      </c>
      <c r="Q574" s="3">
        <f t="shared" si="96"/>
        <v>-0.63258402422926552</v>
      </c>
      <c r="R574" s="3">
        <f t="shared" si="98"/>
        <v>0.4687826525357951</v>
      </c>
    </row>
    <row r="575" spans="1:18" x14ac:dyDescent="0.3">
      <c r="A575" s="2">
        <v>571</v>
      </c>
      <c r="B575" s="2">
        <v>1</v>
      </c>
      <c r="C575" s="2">
        <v>36</v>
      </c>
      <c r="D575" s="2">
        <f t="shared" si="97"/>
        <v>1296</v>
      </c>
      <c r="E575" s="2">
        <v>63.432600000000001</v>
      </c>
      <c r="F575" s="2">
        <v>183.30070000000001</v>
      </c>
      <c r="G575" s="2">
        <v>7.1155999999999997E-2</v>
      </c>
      <c r="H575" s="2">
        <v>1</v>
      </c>
      <c r="I575" s="3">
        <f t="shared" si="88"/>
        <v>1.1882151461963255</v>
      </c>
      <c r="J575" s="3">
        <f t="shared" si="89"/>
        <v>1.2251816929304087</v>
      </c>
      <c r="K575" s="3">
        <f t="shared" si="90"/>
        <v>-1.1485075581604047</v>
      </c>
      <c r="L575" s="3">
        <f t="shared" si="91"/>
        <v>0.3589625630113491</v>
      </c>
      <c r="M575" s="3">
        <f t="shared" si="92"/>
        <v>-1.4654260351629858</v>
      </c>
      <c r="N575" s="3">
        <f t="shared" si="93"/>
        <v>-1.4496510960581555</v>
      </c>
      <c r="O575" s="3">
        <f t="shared" si="94"/>
        <v>-1.2867410386618199E-2</v>
      </c>
      <c r="P575" s="3">
        <f t="shared" si="95"/>
        <v>0.49678319178720132</v>
      </c>
      <c r="Q575" s="3">
        <f t="shared" si="96"/>
        <v>-0.69960158189173449</v>
      </c>
      <c r="R575" s="3">
        <f t="shared" si="98"/>
        <v>0.50321680821279868</v>
      </c>
    </row>
    <row r="576" spans="1:18" x14ac:dyDescent="0.3">
      <c r="A576" s="2">
        <v>572</v>
      </c>
      <c r="B576" s="2">
        <v>1</v>
      </c>
      <c r="C576" s="2">
        <v>25</v>
      </c>
      <c r="D576" s="2">
        <f t="shared" si="97"/>
        <v>625</v>
      </c>
      <c r="E576" s="2">
        <v>59.671999999999997</v>
      </c>
      <c r="F576" s="2">
        <v>186.19929999999999</v>
      </c>
      <c r="G576" s="2">
        <v>0.57386599999999999</v>
      </c>
      <c r="H576" s="2">
        <v>1</v>
      </c>
      <c r="I576" s="3">
        <f t="shared" si="88"/>
        <v>-0.49415924023173263</v>
      </c>
      <c r="J576" s="3">
        <f t="shared" si="89"/>
        <v>-0.57646527401108472</v>
      </c>
      <c r="K576" s="3">
        <f t="shared" si="90"/>
        <v>-1.5286494436135984</v>
      </c>
      <c r="L576" s="3">
        <f t="shared" si="91"/>
        <v>0.65207849218980929</v>
      </c>
      <c r="M576" s="3">
        <f t="shared" si="92"/>
        <v>0.29116885080092797</v>
      </c>
      <c r="N576" s="3">
        <f t="shared" si="93"/>
        <v>-1.4496510960581555</v>
      </c>
      <c r="O576" s="3">
        <f t="shared" si="94"/>
        <v>-6.5410622962718719E-3</v>
      </c>
      <c r="P576" s="3">
        <f t="shared" si="95"/>
        <v>0.49836474025637784</v>
      </c>
      <c r="Q576" s="3">
        <f t="shared" si="96"/>
        <v>-0.69642305988554232</v>
      </c>
      <c r="R576" s="3">
        <f t="shared" si="98"/>
        <v>0.50163525974362222</v>
      </c>
    </row>
    <row r="577" spans="1:18" x14ac:dyDescent="0.3">
      <c r="A577" s="2">
        <v>573</v>
      </c>
      <c r="B577" s="2">
        <v>0</v>
      </c>
      <c r="C577" s="2">
        <v>33</v>
      </c>
      <c r="D577" s="2">
        <f t="shared" si="97"/>
        <v>1089</v>
      </c>
      <c r="E577" s="2">
        <v>89.453800000000001</v>
      </c>
      <c r="F577" s="2">
        <v>169.10919999999999</v>
      </c>
      <c r="G577" s="2">
        <v>0.56601800000000002</v>
      </c>
      <c r="H577" s="2">
        <v>5</v>
      </c>
      <c r="I577" s="3">
        <f t="shared" si="88"/>
        <v>0.72938576807958244</v>
      </c>
      <c r="J577" s="3">
        <f t="shared" si="89"/>
        <v>0.66938300119137872</v>
      </c>
      <c r="K577" s="3">
        <f t="shared" si="90"/>
        <v>1.4818567533203777</v>
      </c>
      <c r="L577" s="3">
        <f t="shared" si="91"/>
        <v>-1.0761284150249928</v>
      </c>
      <c r="M577" s="3">
        <f t="shared" si="92"/>
        <v>0.26374596948755696</v>
      </c>
      <c r="N577" s="3">
        <f t="shared" si="93"/>
        <v>0.90176998432814681</v>
      </c>
      <c r="O577" s="3">
        <f t="shared" si="94"/>
        <v>2.1556192038916448E-2</v>
      </c>
      <c r="P577" s="3">
        <f t="shared" si="95"/>
        <v>0.5053888393422763</v>
      </c>
      <c r="Q577" s="3">
        <f t="shared" si="96"/>
        <v>-0.70398335913176946</v>
      </c>
      <c r="R577" s="3">
        <f t="shared" si="98"/>
        <v>-0.5053888393422763</v>
      </c>
    </row>
    <row r="578" spans="1:18" x14ac:dyDescent="0.3">
      <c r="A578" s="2">
        <v>574</v>
      </c>
      <c r="B578" s="2">
        <v>1</v>
      </c>
      <c r="C578" s="2">
        <v>30</v>
      </c>
      <c r="D578" s="2">
        <f t="shared" si="97"/>
        <v>900</v>
      </c>
      <c r="E578" s="2">
        <v>56.759300000000003</v>
      </c>
      <c r="F578" s="2">
        <v>178.4418</v>
      </c>
      <c r="G578" s="2">
        <v>0.87803399999999998</v>
      </c>
      <c r="H578" s="2">
        <v>3</v>
      </c>
      <c r="I578" s="3">
        <f t="shared" si="88"/>
        <v>0.27055638996283926</v>
      </c>
      <c r="J578" s="3">
        <f t="shared" si="89"/>
        <v>0.16191463047313392</v>
      </c>
      <c r="K578" s="3">
        <f t="shared" si="90"/>
        <v>-1.8230809890477082</v>
      </c>
      <c r="L578" s="3">
        <f t="shared" si="91"/>
        <v>-0.13238532503295772</v>
      </c>
      <c r="M578" s="3">
        <f t="shared" si="92"/>
        <v>1.3540081682481078</v>
      </c>
      <c r="N578" s="3">
        <f t="shared" si="93"/>
        <v>-0.27394055586500432</v>
      </c>
      <c r="O578" s="3">
        <f t="shared" si="94"/>
        <v>-0.18252578689376775</v>
      </c>
      <c r="P578" s="3">
        <f t="shared" si="95"/>
        <v>0.45449481945374842</v>
      </c>
      <c r="Q578" s="3">
        <f t="shared" si="96"/>
        <v>-0.7885687637711527</v>
      </c>
      <c r="R578" s="3">
        <f t="shared" si="98"/>
        <v>0.54550518054625163</v>
      </c>
    </row>
    <row r="579" spans="1:18" x14ac:dyDescent="0.3">
      <c r="A579" s="2">
        <v>575</v>
      </c>
      <c r="B579" s="2">
        <v>0</v>
      </c>
      <c r="C579" s="2">
        <v>18</v>
      </c>
      <c r="D579" s="2">
        <f t="shared" si="97"/>
        <v>324</v>
      </c>
      <c r="E579" s="2">
        <v>98.286199999999994</v>
      </c>
      <c r="F579" s="2">
        <v>180.37860000000001</v>
      </c>
      <c r="G579" s="2">
        <v>0.55787399999999998</v>
      </c>
      <c r="H579" s="2">
        <v>2</v>
      </c>
      <c r="I579" s="3">
        <f t="shared" si="88"/>
        <v>-1.5647611225041334</v>
      </c>
      <c r="J579" s="3">
        <f t="shared" si="89"/>
        <v>-1.3846556421919931</v>
      </c>
      <c r="K579" s="3">
        <f t="shared" si="90"/>
        <v>2.3746837461079067</v>
      </c>
      <c r="L579" s="3">
        <f t="shared" si="91"/>
        <v>6.347023683582223E-2</v>
      </c>
      <c r="M579" s="3">
        <f t="shared" si="92"/>
        <v>0.23528878989835011</v>
      </c>
      <c r="N579" s="3">
        <f t="shared" si="93"/>
        <v>-0.86179582596158</v>
      </c>
      <c r="O579" s="3">
        <f t="shared" si="94"/>
        <v>0.42687196682074224</v>
      </c>
      <c r="P579" s="3">
        <f t="shared" si="95"/>
        <v>0.60512647614860737</v>
      </c>
      <c r="Q579" s="3">
        <f t="shared" si="96"/>
        <v>-0.9291897581349533</v>
      </c>
      <c r="R579" s="3">
        <f t="shared" si="98"/>
        <v>-0.60512647614860737</v>
      </c>
    </row>
    <row r="580" spans="1:18" x14ac:dyDescent="0.3">
      <c r="A580" s="2">
        <v>576</v>
      </c>
      <c r="B580" s="2">
        <v>0</v>
      </c>
      <c r="C580" s="2">
        <v>39</v>
      </c>
      <c r="D580" s="2">
        <f t="shared" si="97"/>
        <v>1521</v>
      </c>
      <c r="E580" s="2">
        <v>82.251499999999993</v>
      </c>
      <c r="F580" s="2">
        <v>185.84569999999999</v>
      </c>
      <c r="G580" s="2">
        <v>0.95979099999999995</v>
      </c>
      <c r="H580" s="2">
        <v>3</v>
      </c>
      <c r="I580" s="3">
        <f t="shared" si="88"/>
        <v>1.6470445243130687</v>
      </c>
      <c r="J580" s="3">
        <f t="shared" si="89"/>
        <v>1.829310705690224</v>
      </c>
      <c r="K580" s="3">
        <f t="shared" si="90"/>
        <v>0.75380912751610807</v>
      </c>
      <c r="L580" s="3">
        <f t="shared" si="91"/>
        <v>0.61632130162970988</v>
      </c>
      <c r="M580" s="3">
        <f t="shared" si="92"/>
        <v>1.6396876416855799</v>
      </c>
      <c r="N580" s="3">
        <f t="shared" si="93"/>
        <v>-0.27394055586500432</v>
      </c>
      <c r="O580" s="3">
        <f t="shared" si="94"/>
        <v>-1.2945342511083587E-2</v>
      </c>
      <c r="P580" s="3">
        <f t="shared" si="95"/>
        <v>0.49676370956740923</v>
      </c>
      <c r="Q580" s="3">
        <f t="shared" si="96"/>
        <v>-0.68669545689472711</v>
      </c>
      <c r="R580" s="3">
        <f t="shared" si="98"/>
        <v>-0.49676370956740923</v>
      </c>
    </row>
    <row r="581" spans="1:18" x14ac:dyDescent="0.3">
      <c r="A581" s="2">
        <v>577</v>
      </c>
      <c r="B581" s="2">
        <v>1</v>
      </c>
      <c r="C581" s="2">
        <v>37</v>
      </c>
      <c r="D581" s="2">
        <f t="shared" si="97"/>
        <v>1369</v>
      </c>
      <c r="E581" s="2">
        <v>81.799700000000001</v>
      </c>
      <c r="F581" s="2">
        <v>180.03800000000001</v>
      </c>
      <c r="G581" s="2">
        <v>4.8695000000000002E-2</v>
      </c>
      <c r="H581" s="2">
        <v>1</v>
      </c>
      <c r="I581" s="3">
        <f t="shared" ref="I581:I644" si="99">(C581-$V$3)/$W$3</f>
        <v>1.34115827223524</v>
      </c>
      <c r="J581" s="3">
        <f t="shared" ref="J581:J644" si="100" xml:space="preserve"> (D581- $V$8)/$W$8</f>
        <v>1.4211879948480377</v>
      </c>
      <c r="K581" s="3">
        <f t="shared" ref="K581:K644" si="101">(E581-$V$4)/$W$4</f>
        <v>0.70813872815224344</v>
      </c>
      <c r="L581" s="3">
        <f t="shared" ref="L581:L644" si="102">(F581-$V$5)/$W$5</f>
        <v>2.9027648869844703E-2</v>
      </c>
      <c r="M581" s="3">
        <f t="shared" ref="M581:M644" si="103">(G581-$V$6)/$W$6</f>
        <v>-1.5439104053438764</v>
      </c>
      <c r="N581" s="3">
        <f t="shared" ref="N581:N644" si="104">(H581-$V$7)/$W$7</f>
        <v>-1.4496510960581555</v>
      </c>
      <c r="O581" s="3">
        <f t="shared" ref="O581:O644" si="105">$V$11+$V$12*I581+$V$17*J581+$V$13*K581+$V$14*L581+$V$15*M581+$V$16*N581</f>
        <v>0.10828381082546178</v>
      </c>
      <c r="P581" s="3">
        <f t="shared" ref="P581:P644" si="106">1/(1+EXP(-O581))</f>
        <v>0.52704453224266945</v>
      </c>
      <c r="Q581" s="3">
        <f t="shared" ref="Q581:Q644" si="107">B581*LN(P581)+(1-B581)*LN(1-P581)</f>
        <v>-0.64047023260157776</v>
      </c>
      <c r="R581" s="3">
        <f t="shared" si="98"/>
        <v>0.47295546775733055</v>
      </c>
    </row>
    <row r="582" spans="1:18" x14ac:dyDescent="0.3">
      <c r="A582" s="2">
        <v>578</v>
      </c>
      <c r="B582" s="2">
        <v>0</v>
      </c>
      <c r="C582" s="2">
        <v>34</v>
      </c>
      <c r="D582" s="2">
        <f t="shared" ref="D582:D645" si="108">C582^2</f>
        <v>1156</v>
      </c>
      <c r="E582" s="2">
        <v>80.7547</v>
      </c>
      <c r="F582" s="2">
        <v>163.73679999999999</v>
      </c>
      <c r="G582" s="2">
        <v>9.8007999999999998E-2</v>
      </c>
      <c r="H582" s="2">
        <v>6</v>
      </c>
      <c r="I582" s="3">
        <f t="shared" si="99"/>
        <v>0.8823288941184968</v>
      </c>
      <c r="J582" s="3">
        <f t="shared" si="100"/>
        <v>0.84927919610207925</v>
      </c>
      <c r="K582" s="3">
        <f t="shared" si="101"/>
        <v>0.60250444896844624</v>
      </c>
      <c r="L582" s="3">
        <f t="shared" si="102"/>
        <v>-1.6194031055370903</v>
      </c>
      <c r="M582" s="3">
        <f t="shared" si="103"/>
        <v>-1.3715984091402231</v>
      </c>
      <c r="N582" s="3">
        <f t="shared" si="104"/>
        <v>1.4896252544247224</v>
      </c>
      <c r="O582" s="3">
        <f t="shared" si="105"/>
        <v>9.9867450815248719E-3</v>
      </c>
      <c r="P582" s="3">
        <f t="shared" si="106"/>
        <v>0.50249666551998828</v>
      </c>
      <c r="Q582" s="3">
        <f t="shared" si="107"/>
        <v>-0.69815301993356571</v>
      </c>
      <c r="R582" s="3">
        <f t="shared" ref="R582:R645" si="109">B582-P582</f>
        <v>-0.50249666551998828</v>
      </c>
    </row>
    <row r="583" spans="1:18" x14ac:dyDescent="0.3">
      <c r="A583" s="2">
        <v>579</v>
      </c>
      <c r="B583" s="2">
        <v>1</v>
      </c>
      <c r="C583" s="2">
        <v>24</v>
      </c>
      <c r="D583" s="2">
        <f t="shared" si="108"/>
        <v>576</v>
      </c>
      <c r="E583" s="2">
        <v>72.473100000000002</v>
      </c>
      <c r="F583" s="2">
        <v>174.70060000000001</v>
      </c>
      <c r="G583" s="2">
        <v>4.4066000000000001E-2</v>
      </c>
      <c r="H583" s="2">
        <v>5</v>
      </c>
      <c r="I583" s="3">
        <f t="shared" si="99"/>
        <v>-0.64710236627064699</v>
      </c>
      <c r="J583" s="3">
        <f t="shared" si="100"/>
        <v>-0.70803114790099997</v>
      </c>
      <c r="K583" s="3">
        <f t="shared" si="101"/>
        <v>-0.23464468642727881</v>
      </c>
      <c r="L583" s="3">
        <f t="shared" si="102"/>
        <v>-0.51070772696577271</v>
      </c>
      <c r="M583" s="3">
        <f t="shared" si="103"/>
        <v>-1.5600852929075351</v>
      </c>
      <c r="N583" s="3">
        <f t="shared" si="104"/>
        <v>0.90176998432814681</v>
      </c>
      <c r="O583" s="3">
        <f t="shared" si="105"/>
        <v>0.11899379583187175</v>
      </c>
      <c r="P583" s="3">
        <f t="shared" si="106"/>
        <v>0.52971339660122174</v>
      </c>
      <c r="Q583" s="3">
        <f t="shared" si="107"/>
        <v>-0.63541917982977125</v>
      </c>
      <c r="R583" s="3">
        <f t="shared" si="109"/>
        <v>0.47028660339877826</v>
      </c>
    </row>
    <row r="584" spans="1:18" x14ac:dyDescent="0.3">
      <c r="A584" s="2">
        <v>580</v>
      </c>
      <c r="B584" s="2">
        <v>0</v>
      </c>
      <c r="C584" s="2">
        <v>30</v>
      </c>
      <c r="D584" s="2">
        <f t="shared" si="108"/>
        <v>900</v>
      </c>
      <c r="E584" s="2">
        <v>78.9208</v>
      </c>
      <c r="F584" s="2">
        <v>182.24629999999999</v>
      </c>
      <c r="G584" s="2">
        <v>0.185277</v>
      </c>
      <c r="H584" s="2">
        <v>5</v>
      </c>
      <c r="I584" s="3">
        <f t="shared" si="99"/>
        <v>0.27055638996283926</v>
      </c>
      <c r="J584" s="3">
        <f t="shared" si="100"/>
        <v>0.16191463047313392</v>
      </c>
      <c r="K584" s="3">
        <f t="shared" si="101"/>
        <v>0.41712387040847954</v>
      </c>
      <c r="L584" s="3">
        <f t="shared" si="102"/>
        <v>0.25233818030046307</v>
      </c>
      <c r="M584" s="3">
        <f t="shared" si="103"/>
        <v>-1.0666586245662446</v>
      </c>
      <c r="N584" s="3">
        <f t="shared" si="104"/>
        <v>0.90176998432814681</v>
      </c>
      <c r="O584" s="3">
        <f t="shared" si="105"/>
        <v>5.9741539718014054E-2</v>
      </c>
      <c r="P584" s="3">
        <f t="shared" si="106"/>
        <v>0.514930944417755</v>
      </c>
      <c r="Q584" s="3">
        <f t="shared" si="107"/>
        <v>-0.72346401553629625</v>
      </c>
      <c r="R584" s="3">
        <f t="shared" si="109"/>
        <v>-0.514930944417755</v>
      </c>
    </row>
    <row r="585" spans="1:18" x14ac:dyDescent="0.3">
      <c r="A585" s="2">
        <v>581</v>
      </c>
      <c r="B585" s="2">
        <v>1</v>
      </c>
      <c r="C585" s="2">
        <v>21</v>
      </c>
      <c r="D585" s="2">
        <f t="shared" si="108"/>
        <v>441</v>
      </c>
      <c r="E585" s="2">
        <v>73.111000000000004</v>
      </c>
      <c r="F585" s="2">
        <v>188.4153</v>
      </c>
      <c r="G585" s="2">
        <v>0.54127000000000003</v>
      </c>
      <c r="H585" s="2">
        <v>3</v>
      </c>
      <c r="I585" s="3">
        <f t="shared" si="99"/>
        <v>-1.1059317443873902</v>
      </c>
      <c r="J585" s="3">
        <f t="shared" si="100"/>
        <v>-1.0705085555568892</v>
      </c>
      <c r="K585" s="3">
        <f t="shared" si="101"/>
        <v>-0.17016228767958094</v>
      </c>
      <c r="L585" s="3">
        <f t="shared" si="102"/>
        <v>0.87616767284925623</v>
      </c>
      <c r="M585" s="3">
        <f t="shared" si="103"/>
        <v>0.17727024742546368</v>
      </c>
      <c r="N585" s="3">
        <f t="shared" si="104"/>
        <v>-0.27394055586500432</v>
      </c>
      <c r="O585" s="3">
        <f t="shared" si="105"/>
        <v>0.17596670859183025</v>
      </c>
      <c r="P585" s="3">
        <f t="shared" si="106"/>
        <v>0.54387851331205284</v>
      </c>
      <c r="Q585" s="3">
        <f t="shared" si="107"/>
        <v>-0.60902937818361824</v>
      </c>
      <c r="R585" s="3">
        <f t="shared" si="109"/>
        <v>0.45612148668794716</v>
      </c>
    </row>
    <row r="586" spans="1:18" x14ac:dyDescent="0.3">
      <c r="A586" s="2">
        <v>582</v>
      </c>
      <c r="B586" s="2">
        <v>1</v>
      </c>
      <c r="C586" s="2">
        <v>21</v>
      </c>
      <c r="D586" s="2">
        <f t="shared" si="108"/>
        <v>441</v>
      </c>
      <c r="E586" s="2">
        <v>80.530699999999996</v>
      </c>
      <c r="F586" s="2">
        <v>173.8236</v>
      </c>
      <c r="G586" s="2">
        <v>0.64557200000000003</v>
      </c>
      <c r="H586" s="2">
        <v>6</v>
      </c>
      <c r="I586" s="3">
        <f t="shared" si="99"/>
        <v>-1.1059317443873902</v>
      </c>
      <c r="J586" s="3">
        <f t="shared" si="100"/>
        <v>-1.0705085555568892</v>
      </c>
      <c r="K586" s="3">
        <f t="shared" si="101"/>
        <v>0.57986131161230181</v>
      </c>
      <c r="L586" s="3">
        <f t="shared" si="102"/>
        <v>-0.59939284043072594</v>
      </c>
      <c r="M586" s="3">
        <f t="shared" si="103"/>
        <v>0.54172760812210419</v>
      </c>
      <c r="N586" s="3">
        <f t="shared" si="104"/>
        <v>1.4896252544247224</v>
      </c>
      <c r="O586" s="3">
        <f t="shared" si="105"/>
        <v>0.15085436122984666</v>
      </c>
      <c r="P586" s="3">
        <f t="shared" si="106"/>
        <v>0.53764223189208793</v>
      </c>
      <c r="Q586" s="3">
        <f t="shared" si="107"/>
        <v>-0.62056193651169578</v>
      </c>
      <c r="R586" s="3">
        <f t="shared" si="109"/>
        <v>0.46235776810791207</v>
      </c>
    </row>
    <row r="587" spans="1:18" x14ac:dyDescent="0.3">
      <c r="A587" s="2">
        <v>583</v>
      </c>
      <c r="B587" s="2">
        <v>1</v>
      </c>
      <c r="C587" s="2">
        <v>23</v>
      </c>
      <c r="D587" s="2">
        <f t="shared" si="108"/>
        <v>529</v>
      </c>
      <c r="E587" s="2">
        <v>74.6631</v>
      </c>
      <c r="F587" s="2">
        <v>201.87649999999999</v>
      </c>
      <c r="G587" s="2">
        <v>4.5585000000000001E-2</v>
      </c>
      <c r="H587" s="2">
        <v>3</v>
      </c>
      <c r="I587" s="3">
        <f t="shared" si="99"/>
        <v>-0.80004549230956135</v>
      </c>
      <c r="J587" s="3">
        <f t="shared" si="100"/>
        <v>-0.83422698612193913</v>
      </c>
      <c r="K587" s="3">
        <f t="shared" si="101"/>
        <v>-1.3267584597120803E-2</v>
      </c>
      <c r="L587" s="3">
        <f t="shared" si="102"/>
        <v>2.2374083220789194</v>
      </c>
      <c r="M587" s="3">
        <f t="shared" si="103"/>
        <v>-1.554777525742014</v>
      </c>
      <c r="N587" s="3">
        <f t="shared" si="104"/>
        <v>-0.27394055586500432</v>
      </c>
      <c r="O587" s="3">
        <f t="shared" si="105"/>
        <v>0.23726234915272679</v>
      </c>
      <c r="P587" s="3">
        <f t="shared" si="106"/>
        <v>0.55903888836631255</v>
      </c>
      <c r="Q587" s="3">
        <f t="shared" si="107"/>
        <v>-0.5815362405073824</v>
      </c>
      <c r="R587" s="3">
        <f t="shared" si="109"/>
        <v>0.44096111163368745</v>
      </c>
    </row>
    <row r="588" spans="1:18" x14ac:dyDescent="0.3">
      <c r="A588" s="2">
        <v>584</v>
      </c>
      <c r="B588" s="2">
        <v>0</v>
      </c>
      <c r="C588" s="2">
        <v>36</v>
      </c>
      <c r="D588" s="2">
        <f t="shared" si="108"/>
        <v>1296</v>
      </c>
      <c r="E588" s="2">
        <v>65.496499999999997</v>
      </c>
      <c r="F588" s="2">
        <v>161.05529999999999</v>
      </c>
      <c r="G588" s="2">
        <v>0.94597100000000001</v>
      </c>
      <c r="H588" s="2">
        <v>2</v>
      </c>
      <c r="I588" s="3">
        <f t="shared" si="99"/>
        <v>1.1882151461963255</v>
      </c>
      <c r="J588" s="3">
        <f t="shared" si="100"/>
        <v>1.2251816929304087</v>
      </c>
      <c r="K588" s="3">
        <f t="shared" si="101"/>
        <v>-0.93987732963654047</v>
      </c>
      <c r="L588" s="3">
        <f t="shared" si="102"/>
        <v>-1.8905651713937259</v>
      </c>
      <c r="M588" s="3">
        <f t="shared" si="103"/>
        <v>1.5913970938070392</v>
      </c>
      <c r="N588" s="3">
        <f t="shared" si="104"/>
        <v>-0.86179582596158</v>
      </c>
      <c r="O588" s="3">
        <f t="shared" si="105"/>
        <v>-0.18944433071002742</v>
      </c>
      <c r="P588" s="3">
        <f t="shared" si="106"/>
        <v>0.45278005657483161</v>
      </c>
      <c r="Q588" s="3">
        <f t="shared" si="107"/>
        <v>-0.60290446702002265</v>
      </c>
      <c r="R588" s="3">
        <f t="shared" si="109"/>
        <v>-0.45278005657483161</v>
      </c>
    </row>
    <row r="589" spans="1:18" x14ac:dyDescent="0.3">
      <c r="A589" s="2">
        <v>585</v>
      </c>
      <c r="B589" s="2">
        <v>1</v>
      </c>
      <c r="C589" s="2">
        <v>29</v>
      </c>
      <c r="D589" s="2">
        <f t="shared" si="108"/>
        <v>841</v>
      </c>
      <c r="E589" s="2">
        <v>66.294300000000007</v>
      </c>
      <c r="F589" s="2">
        <v>174.363</v>
      </c>
      <c r="G589" s="2">
        <v>0.84216500000000005</v>
      </c>
      <c r="H589" s="2">
        <v>4</v>
      </c>
      <c r="I589" s="3">
        <f t="shared" si="99"/>
        <v>0.1176132639239249</v>
      </c>
      <c r="J589" s="3">
        <f t="shared" si="100"/>
        <v>3.4985782383379449E-3</v>
      </c>
      <c r="K589" s="3">
        <f t="shared" si="101"/>
        <v>-0.8592313698922015</v>
      </c>
      <c r="L589" s="3">
        <f t="shared" si="102"/>
        <v>-0.54484694510233911</v>
      </c>
      <c r="M589" s="3">
        <f t="shared" si="103"/>
        <v>1.22867288157261</v>
      </c>
      <c r="N589" s="3">
        <f t="shared" si="104"/>
        <v>0.31391471423157125</v>
      </c>
      <c r="O589" s="3">
        <f t="shared" si="105"/>
        <v>-0.12063213532707141</v>
      </c>
      <c r="P589" s="3">
        <f t="shared" si="106"/>
        <v>0.46987848495063111</v>
      </c>
      <c r="Q589" s="3">
        <f t="shared" si="107"/>
        <v>-0.75528116036417936</v>
      </c>
      <c r="R589" s="3">
        <f t="shared" si="109"/>
        <v>0.53012151504936889</v>
      </c>
    </row>
    <row r="590" spans="1:18" x14ac:dyDescent="0.3">
      <c r="A590" s="2">
        <v>586</v>
      </c>
      <c r="B590" s="2">
        <v>0</v>
      </c>
      <c r="C590" s="2">
        <v>39</v>
      </c>
      <c r="D590" s="2">
        <f t="shared" si="108"/>
        <v>1521</v>
      </c>
      <c r="E590" s="2">
        <v>65.157300000000006</v>
      </c>
      <c r="F590" s="2">
        <v>179.16970000000001</v>
      </c>
      <c r="G590" s="2">
        <v>0.29661199999999999</v>
      </c>
      <c r="H590" s="2">
        <v>6</v>
      </c>
      <c r="I590" s="3">
        <f t="shared" si="99"/>
        <v>1.6470445243130687</v>
      </c>
      <c r="J590" s="3">
        <f t="shared" si="100"/>
        <v>1.829310705690224</v>
      </c>
      <c r="K590" s="3">
        <f t="shared" si="101"/>
        <v>-0.97416550906155763</v>
      </c>
      <c r="L590" s="3">
        <f t="shared" si="102"/>
        <v>-5.8777692089811512E-2</v>
      </c>
      <c r="M590" s="3">
        <f t="shared" si="103"/>
        <v>-0.6776261970657127</v>
      </c>
      <c r="N590" s="3">
        <f t="shared" si="104"/>
        <v>1.4896252544247224</v>
      </c>
      <c r="O590" s="3">
        <f t="shared" si="105"/>
        <v>-6.7982428334725217E-2</v>
      </c>
      <c r="P590" s="3">
        <f t="shared" si="106"/>
        <v>0.48301093548238366</v>
      </c>
      <c r="Q590" s="3">
        <f t="shared" si="107"/>
        <v>-0.65973355650086063</v>
      </c>
      <c r="R590" s="3">
        <f t="shared" si="109"/>
        <v>-0.48301093548238366</v>
      </c>
    </row>
    <row r="591" spans="1:18" x14ac:dyDescent="0.3">
      <c r="A591" s="2">
        <v>587</v>
      </c>
      <c r="B591" s="2">
        <v>1</v>
      </c>
      <c r="C591" s="2">
        <v>24</v>
      </c>
      <c r="D591" s="2">
        <f t="shared" si="108"/>
        <v>576</v>
      </c>
      <c r="E591" s="2">
        <v>84.709000000000003</v>
      </c>
      <c r="F591" s="2">
        <v>177.99250000000001</v>
      </c>
      <c r="G591" s="2">
        <v>7.7188000000000007E-2</v>
      </c>
      <c r="H591" s="2">
        <v>4</v>
      </c>
      <c r="I591" s="3">
        <f t="shared" si="99"/>
        <v>-0.64710236627064699</v>
      </c>
      <c r="J591" s="3">
        <f t="shared" si="100"/>
        <v>-0.70803114790099997</v>
      </c>
      <c r="K591" s="3">
        <f t="shared" si="101"/>
        <v>1.0022265831086268</v>
      </c>
      <c r="L591" s="3">
        <f t="shared" si="102"/>
        <v>-0.17782001315131862</v>
      </c>
      <c r="M591" s="3">
        <f t="shared" si="103"/>
        <v>-1.4443487135419035</v>
      </c>
      <c r="N591" s="3">
        <f t="shared" si="104"/>
        <v>0.31391471423157125</v>
      </c>
      <c r="O591" s="3">
        <f t="shared" si="105"/>
        <v>0.21107605214992803</v>
      </c>
      <c r="P591" s="3">
        <f t="shared" si="106"/>
        <v>0.55257396340600418</v>
      </c>
      <c r="Q591" s="3">
        <f t="shared" si="107"/>
        <v>-0.59316798413196681</v>
      </c>
      <c r="R591" s="3">
        <f t="shared" si="109"/>
        <v>0.44742603659399582</v>
      </c>
    </row>
    <row r="592" spans="1:18" x14ac:dyDescent="0.3">
      <c r="A592" s="2">
        <v>588</v>
      </c>
      <c r="B592" s="2">
        <v>0</v>
      </c>
      <c r="C592" s="2">
        <v>27</v>
      </c>
      <c r="D592" s="2">
        <f t="shared" si="108"/>
        <v>729</v>
      </c>
      <c r="E592" s="2">
        <v>68.825500000000005</v>
      </c>
      <c r="F592" s="2">
        <v>167.67859999999999</v>
      </c>
      <c r="G592" s="2">
        <v>0.16988700000000001</v>
      </c>
      <c r="H592" s="2">
        <v>2</v>
      </c>
      <c r="I592" s="3">
        <f t="shared" si="99"/>
        <v>-0.18827298815390386</v>
      </c>
      <c r="J592" s="3">
        <f t="shared" si="100"/>
        <v>-0.29722341922432566</v>
      </c>
      <c r="K592" s="3">
        <f t="shared" si="101"/>
        <v>-0.60336391776777398</v>
      </c>
      <c r="L592" s="3">
        <f t="shared" si="102"/>
        <v>-1.2207953743442181</v>
      </c>
      <c r="M592" s="3">
        <f t="shared" si="103"/>
        <v>-1.1204351464078324</v>
      </c>
      <c r="N592" s="3">
        <f t="shared" si="104"/>
        <v>-0.86179582596158</v>
      </c>
      <c r="O592" s="3">
        <f t="shared" si="105"/>
        <v>2.5355603723190519E-2</v>
      </c>
      <c r="P592" s="3">
        <f t="shared" si="106"/>
        <v>0.50633856134250499</v>
      </c>
      <c r="Q592" s="3">
        <f t="shared" si="107"/>
        <v>-0.70590534359889878</v>
      </c>
      <c r="R592" s="3">
        <f t="shared" si="109"/>
        <v>-0.50633856134250499</v>
      </c>
    </row>
    <row r="593" spans="1:18" x14ac:dyDescent="0.3">
      <c r="A593" s="2">
        <v>589</v>
      </c>
      <c r="B593" s="2">
        <v>0</v>
      </c>
      <c r="C593" s="2">
        <v>36</v>
      </c>
      <c r="D593" s="2">
        <f t="shared" si="108"/>
        <v>1296</v>
      </c>
      <c r="E593" s="2">
        <v>55.878999999999998</v>
      </c>
      <c r="F593" s="2">
        <v>184.4786</v>
      </c>
      <c r="G593" s="2">
        <v>0.126944</v>
      </c>
      <c r="H593" s="2">
        <v>4</v>
      </c>
      <c r="I593" s="3">
        <f t="shared" si="99"/>
        <v>1.1882151461963255</v>
      </c>
      <c r="J593" s="3">
        <f t="shared" si="100"/>
        <v>1.2251816929304087</v>
      </c>
      <c r="K593" s="3">
        <f t="shared" si="101"/>
        <v>-1.9120664971486623</v>
      </c>
      <c r="L593" s="3">
        <f t="shared" si="102"/>
        <v>0.47807567036638532</v>
      </c>
      <c r="M593" s="3">
        <f t="shared" si="103"/>
        <v>-1.2704887641754286</v>
      </c>
      <c r="N593" s="3">
        <f t="shared" si="104"/>
        <v>0.31391471423157125</v>
      </c>
      <c r="O593" s="3">
        <f t="shared" si="105"/>
        <v>-9.3041715425563526E-2</v>
      </c>
      <c r="P593" s="3">
        <f t="shared" si="106"/>
        <v>0.47675633662769124</v>
      </c>
      <c r="Q593" s="3">
        <f t="shared" si="107"/>
        <v>-0.6477080278635009</v>
      </c>
      <c r="R593" s="3">
        <f t="shared" si="109"/>
        <v>-0.47675633662769124</v>
      </c>
    </row>
    <row r="594" spans="1:18" x14ac:dyDescent="0.3">
      <c r="A594" s="2">
        <v>590</v>
      </c>
      <c r="B594" s="2">
        <v>1</v>
      </c>
      <c r="C594" s="2">
        <v>24</v>
      </c>
      <c r="D594" s="2">
        <f t="shared" si="108"/>
        <v>576</v>
      </c>
      <c r="E594" s="2">
        <v>78.968400000000003</v>
      </c>
      <c r="F594" s="2">
        <v>183.71090000000001</v>
      </c>
      <c r="G594" s="2">
        <v>0.123284</v>
      </c>
      <c r="H594" s="2">
        <v>1</v>
      </c>
      <c r="I594" s="3">
        <f t="shared" si="99"/>
        <v>-0.64710236627064699</v>
      </c>
      <c r="J594" s="3">
        <f t="shared" si="100"/>
        <v>-0.70803114790099997</v>
      </c>
      <c r="K594" s="3">
        <f t="shared" si="101"/>
        <v>0.42193553709666037</v>
      </c>
      <c r="L594" s="3">
        <f t="shared" si="102"/>
        <v>0.40044333101969998</v>
      </c>
      <c r="M594" s="3">
        <f t="shared" si="103"/>
        <v>-1.2832777225860987</v>
      </c>
      <c r="N594" s="3">
        <f t="shared" si="104"/>
        <v>-1.4496510960581555</v>
      </c>
      <c r="O594" s="3">
        <f t="shared" si="105"/>
        <v>0.20418267648457966</v>
      </c>
      <c r="P594" s="3">
        <f t="shared" si="106"/>
        <v>0.5508690618033717</v>
      </c>
      <c r="Q594" s="3">
        <f t="shared" si="107"/>
        <v>-0.59625813544990958</v>
      </c>
      <c r="R594" s="3">
        <f t="shared" si="109"/>
        <v>0.4491309381966283</v>
      </c>
    </row>
    <row r="595" spans="1:18" x14ac:dyDescent="0.3">
      <c r="A595" s="2">
        <v>591</v>
      </c>
      <c r="B595" s="2">
        <v>1</v>
      </c>
      <c r="C595" s="2">
        <v>20</v>
      </c>
      <c r="D595" s="2">
        <f t="shared" si="108"/>
        <v>400</v>
      </c>
      <c r="E595" s="2">
        <v>90.145200000000003</v>
      </c>
      <c r="F595" s="2">
        <v>180.4796</v>
      </c>
      <c r="G595" s="2">
        <v>0.51856199999999997</v>
      </c>
      <c r="H595" s="2">
        <v>4</v>
      </c>
      <c r="I595" s="3">
        <f t="shared" si="99"/>
        <v>-1.2588748704263044</v>
      </c>
      <c r="J595" s="3">
        <f t="shared" si="100"/>
        <v>-1.1805942867708998</v>
      </c>
      <c r="K595" s="3">
        <f t="shared" si="101"/>
        <v>1.5517472228205473</v>
      </c>
      <c r="L595" s="3">
        <f t="shared" si="102"/>
        <v>7.3683687759379932E-2</v>
      </c>
      <c r="M595" s="3">
        <f t="shared" si="103"/>
        <v>9.7922797264399328E-2</v>
      </c>
      <c r="N595" s="3">
        <f t="shared" si="104"/>
        <v>0.31391471423157125</v>
      </c>
      <c r="O595" s="3">
        <f t="shared" si="105"/>
        <v>0.29569332384864716</v>
      </c>
      <c r="P595" s="3">
        <f t="shared" si="106"/>
        <v>0.57338937802235646</v>
      </c>
      <c r="Q595" s="3">
        <f t="shared" si="107"/>
        <v>-0.55619025025562385</v>
      </c>
      <c r="R595" s="3">
        <f t="shared" si="109"/>
        <v>0.42661062197764354</v>
      </c>
    </row>
    <row r="596" spans="1:18" x14ac:dyDescent="0.3">
      <c r="A596" s="2">
        <v>592</v>
      </c>
      <c r="B596" s="2">
        <v>1</v>
      </c>
      <c r="C596" s="2">
        <v>30</v>
      </c>
      <c r="D596" s="2">
        <f t="shared" si="108"/>
        <v>900</v>
      </c>
      <c r="E596" s="2">
        <v>82.730800000000002</v>
      </c>
      <c r="F596" s="2">
        <v>183.3184</v>
      </c>
      <c r="G596" s="2">
        <v>0.24584700000000001</v>
      </c>
      <c r="H596" s="2">
        <v>2</v>
      </c>
      <c r="I596" s="3">
        <f t="shared" si="99"/>
        <v>0.27055638996283926</v>
      </c>
      <c r="J596" s="3">
        <f t="shared" si="100"/>
        <v>0.16191463047313392</v>
      </c>
      <c r="K596" s="3">
        <f t="shared" si="101"/>
        <v>0.8022593763321797</v>
      </c>
      <c r="L596" s="3">
        <f t="shared" si="102"/>
        <v>0.36075244500488257</v>
      </c>
      <c r="M596" s="3">
        <f t="shared" si="103"/>
        <v>-0.85501184562245125</v>
      </c>
      <c r="N596" s="3">
        <f t="shared" si="104"/>
        <v>-0.86179582596158</v>
      </c>
      <c r="O596" s="3">
        <f t="shared" si="105"/>
        <v>0.10310055579179656</v>
      </c>
      <c r="P596" s="3">
        <f t="shared" si="106"/>
        <v>0.52575233130581611</v>
      </c>
      <c r="Q596" s="3">
        <f t="shared" si="107"/>
        <v>-0.6429250301612921</v>
      </c>
      <c r="R596" s="3">
        <f t="shared" si="109"/>
        <v>0.47424766869418389</v>
      </c>
    </row>
    <row r="597" spans="1:18" x14ac:dyDescent="0.3">
      <c r="A597" s="2">
        <v>593</v>
      </c>
      <c r="B597" s="2">
        <v>1</v>
      </c>
      <c r="C597" s="2">
        <v>30</v>
      </c>
      <c r="D597" s="2">
        <f t="shared" si="108"/>
        <v>900</v>
      </c>
      <c r="E597" s="2">
        <v>68.966800000000006</v>
      </c>
      <c r="F597" s="2">
        <v>175.76220000000001</v>
      </c>
      <c r="G597" s="2">
        <v>0.35814000000000001</v>
      </c>
      <c r="H597" s="2">
        <v>4</v>
      </c>
      <c r="I597" s="3">
        <f t="shared" si="99"/>
        <v>0.27055638996283926</v>
      </c>
      <c r="J597" s="3">
        <f t="shared" si="100"/>
        <v>0.16191463047313392</v>
      </c>
      <c r="K597" s="3">
        <f t="shared" si="101"/>
        <v>-0.58908054585517056</v>
      </c>
      <c r="L597" s="3">
        <f t="shared" si="102"/>
        <v>-0.40335525666429811</v>
      </c>
      <c r="M597" s="3">
        <f t="shared" si="103"/>
        <v>-0.46263192572918127</v>
      </c>
      <c r="N597" s="3">
        <f t="shared" si="104"/>
        <v>0.31391471423157125</v>
      </c>
      <c r="O597" s="3">
        <f t="shared" si="105"/>
        <v>-3.8896104267602052E-2</v>
      </c>
      <c r="P597" s="3">
        <f t="shared" si="106"/>
        <v>0.4902771997098509</v>
      </c>
      <c r="Q597" s="3">
        <f t="shared" si="107"/>
        <v>-0.71278433413955977</v>
      </c>
      <c r="R597" s="3">
        <f t="shared" si="109"/>
        <v>0.50972280029014905</v>
      </c>
    </row>
    <row r="598" spans="1:18" x14ac:dyDescent="0.3">
      <c r="A598" s="2">
        <v>594</v>
      </c>
      <c r="B598" s="2">
        <v>1</v>
      </c>
      <c r="C598" s="2">
        <v>35</v>
      </c>
      <c r="D598" s="2">
        <f t="shared" si="108"/>
        <v>1225</v>
      </c>
      <c r="E598" s="2">
        <v>59.131900000000002</v>
      </c>
      <c r="F598" s="2">
        <v>163.82640000000001</v>
      </c>
      <c r="G598" s="2">
        <v>0.98950499999999997</v>
      </c>
      <c r="H598" s="2">
        <v>5</v>
      </c>
      <c r="I598" s="3">
        <f t="shared" si="99"/>
        <v>1.0352720201574113</v>
      </c>
      <c r="J598" s="3">
        <f t="shared" si="100"/>
        <v>1.034545426681756</v>
      </c>
      <c r="K598" s="3">
        <f t="shared" si="101"/>
        <v>-1.5832456868549076</v>
      </c>
      <c r="L598" s="3">
        <f t="shared" si="102"/>
        <v>-1.6103424599652985</v>
      </c>
      <c r="M598" s="3">
        <f t="shared" si="103"/>
        <v>1.7435158138753748</v>
      </c>
      <c r="N598" s="3">
        <f t="shared" si="104"/>
        <v>0.90176998432814681</v>
      </c>
      <c r="O598" s="3">
        <f t="shared" si="105"/>
        <v>-0.25780277844998889</v>
      </c>
      <c r="P598" s="3">
        <f t="shared" si="106"/>
        <v>0.43590391042426735</v>
      </c>
      <c r="Q598" s="3">
        <f t="shared" si="107"/>
        <v>-0.83033344885747951</v>
      </c>
      <c r="R598" s="3">
        <f t="shared" si="109"/>
        <v>0.56409608957573265</v>
      </c>
    </row>
    <row r="599" spans="1:18" x14ac:dyDescent="0.3">
      <c r="A599" s="2">
        <v>595</v>
      </c>
      <c r="B599" s="2">
        <v>0</v>
      </c>
      <c r="C599" s="2">
        <v>37</v>
      </c>
      <c r="D599" s="2">
        <f t="shared" si="108"/>
        <v>1369</v>
      </c>
      <c r="E599" s="2">
        <v>73.657300000000006</v>
      </c>
      <c r="F599" s="2">
        <v>172.83359999999999</v>
      </c>
      <c r="G599" s="2">
        <v>0.68431399999999998</v>
      </c>
      <c r="H599" s="2">
        <v>3</v>
      </c>
      <c r="I599" s="3">
        <f t="shared" si="99"/>
        <v>1.34115827223524</v>
      </c>
      <c r="J599" s="3">
        <f t="shared" si="100"/>
        <v>1.4211879948480377</v>
      </c>
      <c r="K599" s="3">
        <f t="shared" si="101"/>
        <v>-0.11493931474359191</v>
      </c>
      <c r="L599" s="3">
        <f t="shared" si="102"/>
        <v>-0.69950488413688738</v>
      </c>
      <c r="M599" s="3">
        <f t="shared" si="103"/>
        <v>0.67710187772488484</v>
      </c>
      <c r="N599" s="3">
        <f t="shared" si="104"/>
        <v>-0.27394055586500432</v>
      </c>
      <c r="O599" s="3">
        <f t="shared" si="105"/>
        <v>-7.3351404712892254E-2</v>
      </c>
      <c r="P599" s="3">
        <f t="shared" si="106"/>
        <v>0.48167036652519968</v>
      </c>
      <c r="Q599" s="3">
        <f t="shared" si="107"/>
        <v>-0.65714388105312671</v>
      </c>
      <c r="R599" s="3">
        <f t="shared" si="109"/>
        <v>-0.48167036652519968</v>
      </c>
    </row>
    <row r="600" spans="1:18" x14ac:dyDescent="0.3">
      <c r="A600" s="2">
        <v>596</v>
      </c>
      <c r="B600" s="2">
        <v>1</v>
      </c>
      <c r="C600" s="2">
        <v>25</v>
      </c>
      <c r="D600" s="2">
        <f t="shared" si="108"/>
        <v>625</v>
      </c>
      <c r="E600" s="2">
        <v>73.407799999999995</v>
      </c>
      <c r="F600" s="2">
        <v>181.57050000000001</v>
      </c>
      <c r="G600" s="2">
        <v>0.94898099999999996</v>
      </c>
      <c r="H600" s="2">
        <v>1</v>
      </c>
      <c r="I600" s="3">
        <f t="shared" si="99"/>
        <v>-0.49415924023173263</v>
      </c>
      <c r="J600" s="3">
        <f t="shared" si="100"/>
        <v>-0.57646527401108472</v>
      </c>
      <c r="K600" s="3">
        <f t="shared" si="101"/>
        <v>-0.14016013068269104</v>
      </c>
      <c r="L600" s="3">
        <f t="shared" si="102"/>
        <v>0.18399907006145161</v>
      </c>
      <c r="M600" s="3">
        <f t="shared" si="103"/>
        <v>1.6019147891119889</v>
      </c>
      <c r="N600" s="3">
        <f t="shared" si="104"/>
        <v>-1.4496510960581555</v>
      </c>
      <c r="O600" s="3">
        <f t="shared" si="105"/>
        <v>1.7930036374078667E-2</v>
      </c>
      <c r="P600" s="3">
        <f t="shared" si="106"/>
        <v>0.50448238900864395</v>
      </c>
      <c r="Q600" s="3">
        <f t="shared" si="107"/>
        <v>-0.68422234761016576</v>
      </c>
      <c r="R600" s="3">
        <f t="shared" si="109"/>
        <v>0.49551761099135605</v>
      </c>
    </row>
    <row r="601" spans="1:18" x14ac:dyDescent="0.3">
      <c r="A601" s="2">
        <v>597</v>
      </c>
      <c r="B601" s="2">
        <v>1</v>
      </c>
      <c r="C601" s="2">
        <v>26</v>
      </c>
      <c r="D601" s="2">
        <f t="shared" si="108"/>
        <v>676</v>
      </c>
      <c r="E601" s="2">
        <v>65.308000000000007</v>
      </c>
      <c r="F601" s="2">
        <v>181.62739999999999</v>
      </c>
      <c r="G601" s="2">
        <v>0.14255699999999999</v>
      </c>
      <c r="H601" s="2">
        <v>5</v>
      </c>
      <c r="I601" s="3">
        <f t="shared" si="99"/>
        <v>-0.34121611419281822</v>
      </c>
      <c r="J601" s="3">
        <f t="shared" si="100"/>
        <v>-0.43952936445219321</v>
      </c>
      <c r="K601" s="3">
        <f t="shared" si="101"/>
        <v>-0.95893193406347321</v>
      </c>
      <c r="L601" s="3">
        <f t="shared" si="102"/>
        <v>0.18975298449264252</v>
      </c>
      <c r="M601" s="3">
        <f t="shared" si="103"/>
        <v>-1.2159330243760322</v>
      </c>
      <c r="N601" s="3">
        <f t="shared" si="104"/>
        <v>0.90176998432814681</v>
      </c>
      <c r="O601" s="3">
        <f t="shared" si="105"/>
        <v>3.1718132056073059E-2</v>
      </c>
      <c r="P601" s="3">
        <f t="shared" si="106"/>
        <v>0.50792886829534079</v>
      </c>
      <c r="Q601" s="3">
        <f t="shared" si="107"/>
        <v>-0.67741386424846406</v>
      </c>
      <c r="R601" s="3">
        <f t="shared" si="109"/>
        <v>0.49207113170465921</v>
      </c>
    </row>
    <row r="602" spans="1:18" x14ac:dyDescent="0.3">
      <c r="A602" s="2">
        <v>598</v>
      </c>
      <c r="B602" s="2">
        <v>0</v>
      </c>
      <c r="C602" s="2">
        <v>24</v>
      </c>
      <c r="D602" s="2">
        <f t="shared" si="108"/>
        <v>576</v>
      </c>
      <c r="E602" s="2">
        <v>80.510400000000004</v>
      </c>
      <c r="F602" s="2">
        <v>180.41380000000001</v>
      </c>
      <c r="G602" s="2">
        <v>0.38213900000000001</v>
      </c>
      <c r="H602" s="2">
        <v>5</v>
      </c>
      <c r="I602" s="3">
        <f t="shared" si="99"/>
        <v>-0.64710236627064699</v>
      </c>
      <c r="J602" s="3">
        <f t="shared" si="100"/>
        <v>-0.70803114790099997</v>
      </c>
      <c r="K602" s="3">
        <f t="shared" si="101"/>
        <v>0.57780927728940212</v>
      </c>
      <c r="L602" s="3">
        <f t="shared" si="102"/>
        <v>6.7029776167597158E-2</v>
      </c>
      <c r="M602" s="3">
        <f t="shared" si="103"/>
        <v>-0.37877339761506384</v>
      </c>
      <c r="N602" s="3">
        <f t="shared" si="104"/>
        <v>0.90176998432814681</v>
      </c>
      <c r="O602" s="3">
        <f t="shared" si="105"/>
        <v>0.1354421306074251</v>
      </c>
      <c r="P602" s="3">
        <f t="shared" si="106"/>
        <v>0.53380886435500574</v>
      </c>
      <c r="Q602" s="3">
        <f t="shared" si="107"/>
        <v>-0.76315956662175122</v>
      </c>
      <c r="R602" s="3">
        <f t="shared" si="109"/>
        <v>-0.53380886435500574</v>
      </c>
    </row>
    <row r="603" spans="1:18" x14ac:dyDescent="0.3">
      <c r="A603" s="2">
        <v>599</v>
      </c>
      <c r="B603" s="2">
        <v>1</v>
      </c>
      <c r="C603" s="2">
        <v>18</v>
      </c>
      <c r="D603" s="2">
        <f t="shared" si="108"/>
        <v>324</v>
      </c>
      <c r="E603" s="2">
        <v>93.466300000000004</v>
      </c>
      <c r="F603" s="2">
        <v>185.4871</v>
      </c>
      <c r="G603" s="2">
        <v>0.554732</v>
      </c>
      <c r="H603" s="2">
        <v>2</v>
      </c>
      <c r="I603" s="3">
        <f t="shared" si="99"/>
        <v>-1.5647611225041334</v>
      </c>
      <c r="J603" s="3">
        <f t="shared" si="100"/>
        <v>-1.3846556421919931</v>
      </c>
      <c r="K603" s="3">
        <f t="shared" si="101"/>
        <v>1.8874620597557705</v>
      </c>
      <c r="L603" s="3">
        <f t="shared" si="102"/>
        <v>0.58005849468725668</v>
      </c>
      <c r="M603" s="3">
        <f t="shared" si="103"/>
        <v>0.22430985347039248</v>
      </c>
      <c r="N603" s="3">
        <f t="shared" si="104"/>
        <v>-0.86179582596158</v>
      </c>
      <c r="O603" s="3">
        <f t="shared" si="105"/>
        <v>0.40737060692366583</v>
      </c>
      <c r="P603" s="3">
        <f t="shared" si="106"/>
        <v>0.60045723245178273</v>
      </c>
      <c r="Q603" s="3">
        <f t="shared" si="107"/>
        <v>-0.51006385989547065</v>
      </c>
      <c r="R603" s="3">
        <f t="shared" si="109"/>
        <v>0.39954276754821727</v>
      </c>
    </row>
    <row r="604" spans="1:18" x14ac:dyDescent="0.3">
      <c r="A604" s="2">
        <v>600</v>
      </c>
      <c r="B604" s="2">
        <v>1</v>
      </c>
      <c r="C604" s="2">
        <v>20</v>
      </c>
      <c r="D604" s="2">
        <f t="shared" si="108"/>
        <v>400</v>
      </c>
      <c r="E604" s="2">
        <v>77.222800000000007</v>
      </c>
      <c r="F604" s="2">
        <v>174.1885</v>
      </c>
      <c r="G604" s="2">
        <v>7.6758000000000007E-2</v>
      </c>
      <c r="H604" s="2">
        <v>3</v>
      </c>
      <c r="I604" s="3">
        <f t="shared" si="99"/>
        <v>-1.2588748704263044</v>
      </c>
      <c r="J604" s="3">
        <f t="shared" si="100"/>
        <v>-1.1805942867708998</v>
      </c>
      <c r="K604" s="3">
        <f t="shared" si="101"/>
        <v>0.24548080241413833</v>
      </c>
      <c r="L604" s="3">
        <f t="shared" si="102"/>
        <v>-0.56249295684650524</v>
      </c>
      <c r="M604" s="3">
        <f t="shared" si="103"/>
        <v>-1.4458512414426106</v>
      </c>
      <c r="N604" s="3">
        <f t="shared" si="104"/>
        <v>-0.27394055586500432</v>
      </c>
      <c r="O604" s="3">
        <f t="shared" si="105"/>
        <v>0.26911887355864678</v>
      </c>
      <c r="P604" s="3">
        <f t="shared" si="106"/>
        <v>0.56687657693395344</v>
      </c>
      <c r="Q604" s="3">
        <f t="shared" si="107"/>
        <v>-0.56761367631470283</v>
      </c>
      <c r="R604" s="3">
        <f t="shared" si="109"/>
        <v>0.43312342306604656</v>
      </c>
    </row>
    <row r="605" spans="1:18" x14ac:dyDescent="0.3">
      <c r="A605" s="2">
        <v>601</v>
      </c>
      <c r="B605" s="2">
        <v>0</v>
      </c>
      <c r="C605" s="2">
        <v>30</v>
      </c>
      <c r="D605" s="2">
        <f t="shared" si="108"/>
        <v>900</v>
      </c>
      <c r="E605" s="2">
        <v>76.604799999999997</v>
      </c>
      <c r="F605" s="2">
        <v>180.26679999999999</v>
      </c>
      <c r="G605" s="2">
        <v>4.1869999999999997E-3</v>
      </c>
      <c r="H605" s="2">
        <v>3</v>
      </c>
      <c r="I605" s="3">
        <f t="shared" si="99"/>
        <v>0.27055638996283926</v>
      </c>
      <c r="J605" s="3">
        <f t="shared" si="100"/>
        <v>0.16191463047313392</v>
      </c>
      <c r="K605" s="3">
        <f t="shared" si="101"/>
        <v>0.18301000381548999</v>
      </c>
      <c r="L605" s="3">
        <f t="shared" si="102"/>
        <v>5.2164654526377384E-2</v>
      </c>
      <c r="M605" s="3">
        <f t="shared" si="103"/>
        <v>-1.6994325258198602</v>
      </c>
      <c r="N605" s="3">
        <f t="shared" si="104"/>
        <v>-0.27394055586500432</v>
      </c>
      <c r="O605" s="3">
        <f t="shared" si="105"/>
        <v>8.3041552449879333E-2</v>
      </c>
      <c r="P605" s="3">
        <f t="shared" si="106"/>
        <v>0.52074846620457849</v>
      </c>
      <c r="Q605" s="3">
        <f t="shared" si="107"/>
        <v>-0.73552969665373913</v>
      </c>
      <c r="R605" s="3">
        <f t="shared" si="109"/>
        <v>-0.52074846620457849</v>
      </c>
    </row>
    <row r="606" spans="1:18" x14ac:dyDescent="0.3">
      <c r="A606" s="2">
        <v>602</v>
      </c>
      <c r="B606" s="2">
        <v>1</v>
      </c>
      <c r="C606" s="2">
        <v>34</v>
      </c>
      <c r="D606" s="2">
        <f t="shared" si="108"/>
        <v>1156</v>
      </c>
      <c r="E606" s="2">
        <v>65.627700000000004</v>
      </c>
      <c r="F606" s="2">
        <v>185.7209</v>
      </c>
      <c r="G606" s="2">
        <v>0.67043399999999997</v>
      </c>
      <c r="H606" s="2">
        <v>6</v>
      </c>
      <c r="I606" s="3">
        <f t="shared" si="99"/>
        <v>0.8823288941184968</v>
      </c>
      <c r="J606" s="3">
        <f t="shared" si="100"/>
        <v>0.84927919610207925</v>
      </c>
      <c r="K606" s="3">
        <f t="shared" si="101"/>
        <v>-0.92661492061365536</v>
      </c>
      <c r="L606" s="3">
        <f t="shared" si="102"/>
        <v>0.60370111672614613</v>
      </c>
      <c r="M606" s="3">
        <f t="shared" si="103"/>
        <v>0.62860167479043128</v>
      </c>
      <c r="N606" s="3">
        <f t="shared" si="104"/>
        <v>1.4896252544247224</v>
      </c>
      <c r="O606" s="3">
        <f t="shared" si="105"/>
        <v>-0.12374185505818322</v>
      </c>
      <c r="P606" s="3">
        <f t="shared" si="106"/>
        <v>0.46910394965867308</v>
      </c>
      <c r="Q606" s="3">
        <f t="shared" si="107"/>
        <v>-0.75693089403134062</v>
      </c>
      <c r="R606" s="3">
        <f t="shared" si="109"/>
        <v>0.53089605034132692</v>
      </c>
    </row>
    <row r="607" spans="1:18" x14ac:dyDescent="0.3">
      <c r="A607" s="2">
        <v>603</v>
      </c>
      <c r="B607" s="2">
        <v>1</v>
      </c>
      <c r="C607" s="2">
        <v>18</v>
      </c>
      <c r="D607" s="2">
        <f t="shared" si="108"/>
        <v>324</v>
      </c>
      <c r="E607" s="2">
        <v>88.974100000000007</v>
      </c>
      <c r="F607" s="2">
        <v>179.15110000000001</v>
      </c>
      <c r="G607" s="2">
        <v>0.64181999999999995</v>
      </c>
      <c r="H607" s="2">
        <v>1</v>
      </c>
      <c r="I607" s="3">
        <f t="shared" si="99"/>
        <v>-1.5647611225041334</v>
      </c>
      <c r="J607" s="3">
        <f t="shared" si="100"/>
        <v>-1.3846556421919931</v>
      </c>
      <c r="K607" s="3">
        <f t="shared" si="101"/>
        <v>1.4333660703304574</v>
      </c>
      <c r="L607" s="3">
        <f t="shared" si="102"/>
        <v>-6.0658585032168887E-2</v>
      </c>
      <c r="M607" s="3">
        <f t="shared" si="103"/>
        <v>0.52861717862570112</v>
      </c>
      <c r="N607" s="3">
        <f t="shared" si="104"/>
        <v>-1.4496510960581555</v>
      </c>
      <c r="O607" s="3">
        <f t="shared" si="105"/>
        <v>0.35801391564401513</v>
      </c>
      <c r="P607" s="3">
        <f t="shared" si="106"/>
        <v>0.58855957416339821</v>
      </c>
      <c r="Q607" s="3">
        <f t="shared" si="107"/>
        <v>-0.53007712688122821</v>
      </c>
      <c r="R607" s="3">
        <f t="shared" si="109"/>
        <v>0.41144042583660179</v>
      </c>
    </row>
    <row r="608" spans="1:18" x14ac:dyDescent="0.3">
      <c r="A608" s="2">
        <v>604</v>
      </c>
      <c r="B608" s="2">
        <v>1</v>
      </c>
      <c r="C608" s="2">
        <v>23</v>
      </c>
      <c r="D608" s="2">
        <f t="shared" si="108"/>
        <v>529</v>
      </c>
      <c r="E608" s="2">
        <v>74.248599999999996</v>
      </c>
      <c r="F608" s="2">
        <v>167.5668</v>
      </c>
      <c r="G608" s="2">
        <v>0.41078900000000002</v>
      </c>
      <c r="H608" s="2">
        <v>2</v>
      </c>
      <c r="I608" s="3">
        <f t="shared" si="99"/>
        <v>-0.80004549230956135</v>
      </c>
      <c r="J608" s="3">
        <f t="shared" si="100"/>
        <v>-0.83422698612193913</v>
      </c>
      <c r="K608" s="3">
        <f t="shared" si="101"/>
        <v>-5.5167497249450227E-2</v>
      </c>
      <c r="L608" s="3">
        <f t="shared" si="102"/>
        <v>-1.23210095665366</v>
      </c>
      <c r="M608" s="3">
        <f t="shared" si="103"/>
        <v>-0.27866310841678626</v>
      </c>
      <c r="N608" s="3">
        <f t="shared" si="104"/>
        <v>-0.86179582596158</v>
      </c>
      <c r="O608" s="3">
        <f t="shared" si="105"/>
        <v>0.10805937338750386</v>
      </c>
      <c r="P608" s="3">
        <f t="shared" si="106"/>
        <v>0.5269885866988876</v>
      </c>
      <c r="Q608" s="3">
        <f t="shared" si="107"/>
        <v>-0.64057638779315385</v>
      </c>
      <c r="R608" s="3">
        <f t="shared" si="109"/>
        <v>0.4730114133011124</v>
      </c>
    </row>
    <row r="609" spans="1:18" x14ac:dyDescent="0.3">
      <c r="A609" s="2">
        <v>605</v>
      </c>
      <c r="B609" s="2">
        <v>0</v>
      </c>
      <c r="C609" s="2">
        <v>38</v>
      </c>
      <c r="D609" s="2">
        <f t="shared" si="108"/>
        <v>1444</v>
      </c>
      <c r="E609" s="2">
        <v>69.210400000000007</v>
      </c>
      <c r="F609" s="2">
        <v>170.38509999999999</v>
      </c>
      <c r="G609" s="2">
        <v>0.48964400000000002</v>
      </c>
      <c r="H609" s="2">
        <v>1</v>
      </c>
      <c r="I609" s="3">
        <f t="shared" si="99"/>
        <v>1.4941013982741542</v>
      </c>
      <c r="J609" s="3">
        <f t="shared" si="100"/>
        <v>1.6225643324346428</v>
      </c>
      <c r="K609" s="3">
        <f t="shared" si="101"/>
        <v>-0.56445613398036387</v>
      </c>
      <c r="L609" s="3">
        <f t="shared" si="102"/>
        <v>-0.94710522657581009</v>
      </c>
      <c r="M609" s="3">
        <f t="shared" si="103"/>
        <v>-3.1239511836211242E-3</v>
      </c>
      <c r="N609" s="3">
        <f t="shared" si="104"/>
        <v>-1.4496510960581555</v>
      </c>
      <c r="O609" s="3">
        <f t="shared" si="105"/>
        <v>-5.7386610708587596E-2</v>
      </c>
      <c r="P609" s="3">
        <f t="shared" si="106"/>
        <v>0.48565728325398833</v>
      </c>
      <c r="Q609" s="3">
        <f t="shared" si="107"/>
        <v>-0.66486547161809417</v>
      </c>
      <c r="R609" s="3">
        <f t="shared" si="109"/>
        <v>-0.48565728325398833</v>
      </c>
    </row>
    <row r="610" spans="1:18" x14ac:dyDescent="0.3">
      <c r="A610" s="2">
        <v>606</v>
      </c>
      <c r="B610" s="2">
        <v>1</v>
      </c>
      <c r="C610" s="2">
        <v>23</v>
      </c>
      <c r="D610" s="2">
        <f t="shared" si="108"/>
        <v>529</v>
      </c>
      <c r="E610" s="2">
        <v>75.636899999999997</v>
      </c>
      <c r="F610" s="2">
        <v>188.30850000000001</v>
      </c>
      <c r="G610" s="2">
        <v>0.41544300000000001</v>
      </c>
      <c r="H610" s="2">
        <v>6</v>
      </c>
      <c r="I610" s="3">
        <f t="shared" si="99"/>
        <v>-0.80004549230956135</v>
      </c>
      <c r="J610" s="3">
        <f t="shared" si="100"/>
        <v>-0.83422698612193913</v>
      </c>
      <c r="K610" s="3">
        <f t="shared" si="101"/>
        <v>8.5169411641330087E-2</v>
      </c>
      <c r="L610" s="3">
        <f t="shared" si="102"/>
        <v>0.86536770692216813</v>
      </c>
      <c r="M610" s="3">
        <f t="shared" si="103"/>
        <v>-0.26240086457983047</v>
      </c>
      <c r="N610" s="3">
        <f t="shared" si="104"/>
        <v>1.4896252544247224</v>
      </c>
      <c r="O610" s="3">
        <f t="shared" si="105"/>
        <v>0.13239514076758191</v>
      </c>
      <c r="P610" s="3">
        <f t="shared" si="106"/>
        <v>0.53305052219009919</v>
      </c>
      <c r="Q610" s="3">
        <f t="shared" si="107"/>
        <v>-0.62913907095927002</v>
      </c>
      <c r="R610" s="3">
        <f t="shared" si="109"/>
        <v>0.46694947780990081</v>
      </c>
    </row>
    <row r="611" spans="1:18" x14ac:dyDescent="0.3">
      <c r="A611" s="2">
        <v>607</v>
      </c>
      <c r="B611" s="2">
        <v>0</v>
      </c>
      <c r="C611" s="2">
        <v>29</v>
      </c>
      <c r="D611" s="2">
        <f t="shared" si="108"/>
        <v>841</v>
      </c>
      <c r="E611" s="2">
        <v>79.7196</v>
      </c>
      <c r="F611" s="2">
        <v>193.9247</v>
      </c>
      <c r="G611" s="2">
        <v>2.4004999999999999E-2</v>
      </c>
      <c r="H611" s="2">
        <v>4</v>
      </c>
      <c r="I611" s="3">
        <f t="shared" si="99"/>
        <v>0.1176132639239249</v>
      </c>
      <c r="J611" s="3">
        <f t="shared" si="100"/>
        <v>3.4985782383379449E-3</v>
      </c>
      <c r="K611" s="3">
        <f t="shared" si="101"/>
        <v>0.49787091558744317</v>
      </c>
      <c r="L611" s="3">
        <f t="shared" si="102"/>
        <v>1.4332962522378627</v>
      </c>
      <c r="M611" s="3">
        <f t="shared" si="103"/>
        <v>-1.6301834608519208</v>
      </c>
      <c r="N611" s="3">
        <f t="shared" si="104"/>
        <v>0.31391471423157125</v>
      </c>
      <c r="O611" s="3">
        <f t="shared" si="105"/>
        <v>0.13569108992660284</v>
      </c>
      <c r="P611" s="3">
        <f t="shared" si="106"/>
        <v>0.53387081909271705</v>
      </c>
      <c r="Q611" s="3">
        <f t="shared" si="107"/>
        <v>-0.7632924710253185</v>
      </c>
      <c r="R611" s="3">
        <f t="shared" si="109"/>
        <v>-0.53387081909271705</v>
      </c>
    </row>
    <row r="612" spans="1:18" x14ac:dyDescent="0.3">
      <c r="A612" s="2">
        <v>608</v>
      </c>
      <c r="B612" s="2">
        <v>1</v>
      </c>
      <c r="C612" s="2">
        <v>30</v>
      </c>
      <c r="D612" s="2">
        <f t="shared" si="108"/>
        <v>900</v>
      </c>
      <c r="E612" s="2">
        <v>76.392200000000003</v>
      </c>
      <c r="F612" s="2">
        <v>191.75280000000001</v>
      </c>
      <c r="G612" s="2">
        <v>0.335372</v>
      </c>
      <c r="H612" s="2">
        <v>5</v>
      </c>
      <c r="I612" s="3">
        <f t="shared" si="99"/>
        <v>0.27055638996283926</v>
      </c>
      <c r="J612" s="3">
        <f t="shared" si="100"/>
        <v>0.16191463047313392</v>
      </c>
      <c r="K612" s="3">
        <f t="shared" si="101"/>
        <v>0.16151924041407881</v>
      </c>
      <c r="L612" s="3">
        <f t="shared" si="102"/>
        <v>1.2136666080707827</v>
      </c>
      <c r="M612" s="3">
        <f t="shared" si="103"/>
        <v>-0.542189030946158</v>
      </c>
      <c r="N612" s="3">
        <f t="shared" si="104"/>
        <v>0.90176998432814681</v>
      </c>
      <c r="O612" s="3">
        <f t="shared" si="105"/>
        <v>4.2976322482813696E-2</v>
      </c>
      <c r="P612" s="3">
        <f t="shared" si="106"/>
        <v>0.51074242726496499</v>
      </c>
      <c r="Q612" s="3">
        <f t="shared" si="107"/>
        <v>-0.67188987209042594</v>
      </c>
      <c r="R612" s="3">
        <f t="shared" si="109"/>
        <v>0.48925757273503501</v>
      </c>
    </row>
    <row r="613" spans="1:18" x14ac:dyDescent="0.3">
      <c r="A613" s="2">
        <v>609</v>
      </c>
      <c r="B613" s="2">
        <v>0</v>
      </c>
      <c r="C613" s="2">
        <v>30</v>
      </c>
      <c r="D613" s="2">
        <f t="shared" si="108"/>
        <v>900</v>
      </c>
      <c r="E613" s="2">
        <v>87.061499999999995</v>
      </c>
      <c r="F613" s="2">
        <v>182.32159999999999</v>
      </c>
      <c r="G613" s="2">
        <v>0.17708199999999999</v>
      </c>
      <c r="H613" s="2">
        <v>1</v>
      </c>
      <c r="I613" s="3">
        <f t="shared" si="99"/>
        <v>0.27055638996283926</v>
      </c>
      <c r="J613" s="3">
        <f t="shared" si="100"/>
        <v>0.16191463047313392</v>
      </c>
      <c r="K613" s="3">
        <f t="shared" si="101"/>
        <v>1.2400300680654512</v>
      </c>
      <c r="L613" s="3">
        <f t="shared" si="102"/>
        <v>0.25995276301871939</v>
      </c>
      <c r="M613" s="3">
        <f t="shared" si="103"/>
        <v>-1.095294010952977</v>
      </c>
      <c r="N613" s="3">
        <f t="shared" si="104"/>
        <v>-1.4496510960581555</v>
      </c>
      <c r="O613" s="3">
        <f t="shared" si="105"/>
        <v>0.14787342343756732</v>
      </c>
      <c r="P613" s="3">
        <f t="shared" si="106"/>
        <v>0.53690113863825772</v>
      </c>
      <c r="Q613" s="3">
        <f t="shared" si="107"/>
        <v>-0.76981472422930586</v>
      </c>
      <c r="R613" s="3">
        <f t="shared" si="109"/>
        <v>-0.53690113863825772</v>
      </c>
    </row>
    <row r="614" spans="1:18" x14ac:dyDescent="0.3">
      <c r="A614" s="2">
        <v>610</v>
      </c>
      <c r="B614" s="2">
        <v>1</v>
      </c>
      <c r="C614" s="2">
        <v>32</v>
      </c>
      <c r="D614" s="2">
        <f t="shared" si="108"/>
        <v>1024</v>
      </c>
      <c r="E614" s="2">
        <v>78.839699999999993</v>
      </c>
      <c r="F614" s="2">
        <v>167.96870000000001</v>
      </c>
      <c r="G614" s="2">
        <v>9.8423999999999998E-2</v>
      </c>
      <c r="H614" s="2">
        <v>5</v>
      </c>
      <c r="I614" s="3">
        <f t="shared" si="99"/>
        <v>0.57644264204066809</v>
      </c>
      <c r="J614" s="3">
        <f t="shared" si="100"/>
        <v>0.49485684194965435</v>
      </c>
      <c r="K614" s="3">
        <f t="shared" si="101"/>
        <v>0.40892584166033924</v>
      </c>
      <c r="L614" s="3">
        <f t="shared" si="102"/>
        <v>-1.1914595118400166</v>
      </c>
      <c r="M614" s="3">
        <f t="shared" si="103"/>
        <v>-1.3701448007525623</v>
      </c>
      <c r="N614" s="3">
        <f t="shared" si="104"/>
        <v>0.90176998432814681</v>
      </c>
      <c r="O614" s="3">
        <f t="shared" si="105"/>
        <v>2.2742874197940209E-2</v>
      </c>
      <c r="P614" s="3">
        <f t="shared" si="106"/>
        <v>0.50568547348953141</v>
      </c>
      <c r="Q614" s="3">
        <f t="shared" si="107"/>
        <v>-0.6818403968584571</v>
      </c>
      <c r="R614" s="3">
        <f t="shared" si="109"/>
        <v>0.49431452651046859</v>
      </c>
    </row>
    <row r="615" spans="1:18" x14ac:dyDescent="0.3">
      <c r="A615" s="2">
        <v>611</v>
      </c>
      <c r="B615" s="2">
        <v>0</v>
      </c>
      <c r="C615" s="2">
        <v>38</v>
      </c>
      <c r="D615" s="2">
        <f t="shared" si="108"/>
        <v>1444</v>
      </c>
      <c r="E615" s="2">
        <v>72.160600000000002</v>
      </c>
      <c r="F615" s="2">
        <v>179.9365</v>
      </c>
      <c r="G615" s="2">
        <v>0.95672000000000001</v>
      </c>
      <c r="H615" s="2">
        <v>2</v>
      </c>
      <c r="I615" s="3">
        <f t="shared" si="99"/>
        <v>1.4941013982741542</v>
      </c>
      <c r="J615" s="3">
        <f t="shared" si="100"/>
        <v>1.6225643324346428</v>
      </c>
      <c r="K615" s="3">
        <f t="shared" si="101"/>
        <v>-0.26623388474779225</v>
      </c>
      <c r="L615" s="3">
        <f t="shared" si="102"/>
        <v>1.8763636308049895E-2</v>
      </c>
      <c r="M615" s="3">
        <f t="shared" si="103"/>
        <v>1.6289567970737857</v>
      </c>
      <c r="N615" s="3">
        <f t="shared" si="104"/>
        <v>-0.86179582596158</v>
      </c>
      <c r="O615" s="3">
        <f t="shared" si="105"/>
        <v>-9.3009711919944504E-2</v>
      </c>
      <c r="P615" s="3">
        <f t="shared" si="106"/>
        <v>0.47676432021956766</v>
      </c>
      <c r="Q615" s="3">
        <f t="shared" si="107"/>
        <v>-0.64772328586535044</v>
      </c>
      <c r="R615" s="3">
        <f t="shared" si="109"/>
        <v>-0.47676432021956766</v>
      </c>
    </row>
    <row r="616" spans="1:18" x14ac:dyDescent="0.3">
      <c r="A616" s="2">
        <v>612</v>
      </c>
      <c r="B616" s="2">
        <v>0</v>
      </c>
      <c r="C616" s="2">
        <v>33</v>
      </c>
      <c r="D616" s="2">
        <f t="shared" si="108"/>
        <v>1089</v>
      </c>
      <c r="E616" s="2">
        <v>79.011899999999997</v>
      </c>
      <c r="F616" s="2">
        <v>195.62260000000001</v>
      </c>
      <c r="G616" s="2">
        <v>0.59936</v>
      </c>
      <c r="H616" s="2">
        <v>4</v>
      </c>
      <c r="I616" s="3">
        <f t="shared" si="99"/>
        <v>0.72938576807958244</v>
      </c>
      <c r="J616" s="3">
        <f t="shared" si="100"/>
        <v>0.66938300119137872</v>
      </c>
      <c r="K616" s="3">
        <f t="shared" si="101"/>
        <v>0.42633275350287531</v>
      </c>
      <c r="L616" s="3">
        <f t="shared" si="102"/>
        <v>1.6049934633577521</v>
      </c>
      <c r="M616" s="3">
        <f t="shared" si="103"/>
        <v>0.38025128405820163</v>
      </c>
      <c r="N616" s="3">
        <f t="shared" si="104"/>
        <v>0.31391471423157125</v>
      </c>
      <c r="O616" s="3">
        <f t="shared" si="105"/>
        <v>1.7747443686011197E-2</v>
      </c>
      <c r="P616" s="3">
        <f t="shared" si="106"/>
        <v>0.5044367444680139</v>
      </c>
      <c r="Q616" s="3">
        <f t="shared" si="107"/>
        <v>-0.70206027335593102</v>
      </c>
      <c r="R616" s="3">
        <f t="shared" si="109"/>
        <v>-0.5044367444680139</v>
      </c>
    </row>
    <row r="617" spans="1:18" x14ac:dyDescent="0.3">
      <c r="A617" s="2">
        <v>613</v>
      </c>
      <c r="B617" s="2">
        <v>0</v>
      </c>
      <c r="C617" s="2">
        <v>39</v>
      </c>
      <c r="D617" s="2">
        <f t="shared" si="108"/>
        <v>1521</v>
      </c>
      <c r="E617" s="2">
        <v>79.996399999999994</v>
      </c>
      <c r="F617" s="2">
        <v>186.1849</v>
      </c>
      <c r="G617" s="2">
        <v>0.72865599999999997</v>
      </c>
      <c r="H617" s="2">
        <v>2</v>
      </c>
      <c r="I617" s="3">
        <f t="shared" si="99"/>
        <v>1.6470445243130687</v>
      </c>
      <c r="J617" s="3">
        <f t="shared" si="100"/>
        <v>1.829310705690224</v>
      </c>
      <c r="K617" s="3">
        <f t="shared" si="101"/>
        <v>0.52585136389182063</v>
      </c>
      <c r="L617" s="3">
        <f t="shared" si="102"/>
        <v>0.65062231700862927</v>
      </c>
      <c r="M617" s="3">
        <f t="shared" si="103"/>
        <v>0.83204395254617713</v>
      </c>
      <c r="N617" s="3">
        <f t="shared" si="104"/>
        <v>-0.86179582596158</v>
      </c>
      <c r="O617" s="3">
        <f t="shared" si="105"/>
        <v>1.5427680670600115E-2</v>
      </c>
      <c r="P617" s="3">
        <f t="shared" si="106"/>
        <v>0.50385684366960282</v>
      </c>
      <c r="Q617" s="3">
        <f t="shared" si="107"/>
        <v>-0.7008907722665555</v>
      </c>
      <c r="R617" s="3">
        <f t="shared" si="109"/>
        <v>-0.50385684366960282</v>
      </c>
    </row>
    <row r="618" spans="1:18" x14ac:dyDescent="0.3">
      <c r="A618" s="2">
        <v>614</v>
      </c>
      <c r="B618" s="2">
        <v>0</v>
      </c>
      <c r="C618" s="2">
        <v>38</v>
      </c>
      <c r="D618" s="2">
        <f t="shared" si="108"/>
        <v>1444</v>
      </c>
      <c r="E618" s="2">
        <v>62.036200000000001</v>
      </c>
      <c r="F618" s="2">
        <v>177.92519999999999</v>
      </c>
      <c r="G618" s="2">
        <v>0.31536399999999998</v>
      </c>
      <c r="H618" s="2">
        <v>4</v>
      </c>
      <c r="I618" s="3">
        <f t="shared" si="99"/>
        <v>1.4941013982741542</v>
      </c>
      <c r="J618" s="3">
        <f t="shared" si="100"/>
        <v>1.6225643324346428</v>
      </c>
      <c r="K618" s="3">
        <f t="shared" si="101"/>
        <v>-1.2896632590716528</v>
      </c>
      <c r="L618" s="3">
        <f t="shared" si="102"/>
        <v>-0.18462560965780986</v>
      </c>
      <c r="M618" s="3">
        <f t="shared" si="103"/>
        <v>-0.61210200359115419</v>
      </c>
      <c r="N618" s="3">
        <f t="shared" si="104"/>
        <v>0.31391471423157125</v>
      </c>
      <c r="O618" s="3">
        <f t="shared" si="105"/>
        <v>-8.5967566425072681E-2</v>
      </c>
      <c r="P618" s="3">
        <f t="shared" si="106"/>
        <v>0.47852133479884579</v>
      </c>
      <c r="Q618" s="3">
        <f t="shared" si="107"/>
        <v>-0.65108691582657496</v>
      </c>
      <c r="R618" s="3">
        <f t="shared" si="109"/>
        <v>-0.47852133479884579</v>
      </c>
    </row>
    <row r="619" spans="1:18" x14ac:dyDescent="0.3">
      <c r="A619" s="2">
        <v>615</v>
      </c>
      <c r="B619" s="2">
        <v>0</v>
      </c>
      <c r="C619" s="2">
        <v>28</v>
      </c>
      <c r="D619" s="2">
        <f t="shared" si="108"/>
        <v>784</v>
      </c>
      <c r="E619" s="2">
        <v>86.494200000000006</v>
      </c>
      <c r="F619" s="2">
        <v>186.28630000000001</v>
      </c>
      <c r="G619" s="2">
        <v>0.39314700000000002</v>
      </c>
      <c r="H619" s="2">
        <v>4</v>
      </c>
      <c r="I619" s="3">
        <f t="shared" si="99"/>
        <v>-3.5329862114989473E-2</v>
      </c>
      <c r="J619" s="3">
        <f t="shared" si="100"/>
        <v>-0.14954743832748191</v>
      </c>
      <c r="K619" s="3">
        <f t="shared" si="101"/>
        <v>1.1826843010023251</v>
      </c>
      <c r="L619" s="3">
        <f t="shared" si="102"/>
        <v>0.66087621724277668</v>
      </c>
      <c r="M619" s="3">
        <f t="shared" si="103"/>
        <v>-0.34030868335696118</v>
      </c>
      <c r="N619" s="3">
        <f t="shared" si="104"/>
        <v>0.31391471423157125</v>
      </c>
      <c r="O619" s="3">
        <f t="shared" si="105"/>
        <v>0.12112399936510905</v>
      </c>
      <c r="P619" s="3">
        <f t="shared" si="106"/>
        <v>0.53024403297019074</v>
      </c>
      <c r="Q619" s="3">
        <f t="shared" si="107"/>
        <v>-0.75554193820445104</v>
      </c>
      <c r="R619" s="3">
        <f t="shared" si="109"/>
        <v>-0.53024403297019074</v>
      </c>
    </row>
    <row r="620" spans="1:18" x14ac:dyDescent="0.3">
      <c r="A620" s="2">
        <v>616</v>
      </c>
      <c r="B620" s="2">
        <v>0</v>
      </c>
      <c r="C620" s="2">
        <v>22</v>
      </c>
      <c r="D620" s="2">
        <f t="shared" si="108"/>
        <v>484</v>
      </c>
      <c r="E620" s="2">
        <v>71.991</v>
      </c>
      <c r="F620" s="2">
        <v>167.30600000000001</v>
      </c>
      <c r="G620" s="2">
        <v>0.236924</v>
      </c>
      <c r="H620" s="2">
        <v>5</v>
      </c>
      <c r="I620" s="3">
        <f t="shared" si="99"/>
        <v>-0.9529886183484757</v>
      </c>
      <c r="J620" s="3">
        <f t="shared" si="100"/>
        <v>-0.9550527886739022</v>
      </c>
      <c r="K620" s="3">
        <f t="shared" si="101"/>
        <v>-0.28337797446030161</v>
      </c>
      <c r="L620" s="3">
        <f t="shared" si="102"/>
        <v>-1.2584739071572617</v>
      </c>
      <c r="M620" s="3">
        <f t="shared" si="103"/>
        <v>-0.88619104668759041</v>
      </c>
      <c r="N620" s="3">
        <f t="shared" si="104"/>
        <v>0.90176998432814681</v>
      </c>
      <c r="O620" s="3">
        <f t="shared" si="105"/>
        <v>0.11972941464604214</v>
      </c>
      <c r="P620" s="3">
        <f t="shared" si="106"/>
        <v>0.52989664782353785</v>
      </c>
      <c r="Q620" s="3">
        <f t="shared" si="107"/>
        <v>-0.75480271020431688</v>
      </c>
      <c r="R620" s="3">
        <f t="shared" si="109"/>
        <v>-0.52989664782353785</v>
      </c>
    </row>
    <row r="621" spans="1:18" x14ac:dyDescent="0.3">
      <c r="A621" s="2">
        <v>617</v>
      </c>
      <c r="B621" s="2">
        <v>1</v>
      </c>
      <c r="C621" s="2">
        <v>21</v>
      </c>
      <c r="D621" s="2">
        <f t="shared" si="108"/>
        <v>441</v>
      </c>
      <c r="E621" s="2">
        <v>72.246799999999993</v>
      </c>
      <c r="F621" s="2">
        <v>173.04329999999999</v>
      </c>
      <c r="G621" s="2">
        <v>9.6965999999999997E-2</v>
      </c>
      <c r="H621" s="2">
        <v>2</v>
      </c>
      <c r="I621" s="3">
        <f t="shared" si="99"/>
        <v>-1.1059317443873902</v>
      </c>
      <c r="J621" s="3">
        <f t="shared" si="100"/>
        <v>-1.0705085555568892</v>
      </c>
      <c r="K621" s="3">
        <f t="shared" si="101"/>
        <v>-0.25752032028306276</v>
      </c>
      <c r="L621" s="3">
        <f t="shared" si="102"/>
        <v>-0.67829933306094625</v>
      </c>
      <c r="M621" s="3">
        <f t="shared" si="103"/>
        <v>-1.3752394186112391</v>
      </c>
      <c r="N621" s="3">
        <f t="shared" si="104"/>
        <v>-0.86179582596158</v>
      </c>
      <c r="O621" s="3">
        <f t="shared" si="105"/>
        <v>0.20838920554450366</v>
      </c>
      <c r="P621" s="3">
        <f t="shared" si="106"/>
        <v>0.55190958480755592</v>
      </c>
      <c r="Q621" s="3">
        <f t="shared" si="107"/>
        <v>-0.59437104175949795</v>
      </c>
      <c r="R621" s="3">
        <f t="shared" si="109"/>
        <v>0.44809041519244408</v>
      </c>
    </row>
    <row r="622" spans="1:18" x14ac:dyDescent="0.3">
      <c r="A622" s="2">
        <v>618</v>
      </c>
      <c r="B622" s="2">
        <v>1</v>
      </c>
      <c r="C622" s="2">
        <v>20</v>
      </c>
      <c r="D622" s="2">
        <f t="shared" si="108"/>
        <v>400</v>
      </c>
      <c r="E622" s="2">
        <v>82.513800000000003</v>
      </c>
      <c r="F622" s="2">
        <v>169.15809999999999</v>
      </c>
      <c r="G622" s="2">
        <v>0.179032</v>
      </c>
      <c r="H622" s="2">
        <v>2</v>
      </c>
      <c r="I622" s="3">
        <f t="shared" si="99"/>
        <v>-1.2588748704263044</v>
      </c>
      <c r="J622" s="3">
        <f t="shared" si="100"/>
        <v>-1.1805942867708998</v>
      </c>
      <c r="K622" s="3">
        <f t="shared" si="101"/>
        <v>0.78032383701841523</v>
      </c>
      <c r="L622" s="3">
        <f t="shared" si="102"/>
        <v>-1.071183486805567</v>
      </c>
      <c r="M622" s="3">
        <f t="shared" si="103"/>
        <v>-1.0884802216358165</v>
      </c>
      <c r="N622" s="3">
        <f t="shared" si="104"/>
        <v>-0.86179582596158</v>
      </c>
      <c r="O622" s="3">
        <f t="shared" si="105"/>
        <v>0.28540085651501385</v>
      </c>
      <c r="P622" s="3">
        <f t="shared" si="106"/>
        <v>0.5708698154975872</v>
      </c>
      <c r="Q622" s="3">
        <f t="shared" si="107"/>
        <v>-0.56059408919530984</v>
      </c>
      <c r="R622" s="3">
        <f t="shared" si="109"/>
        <v>0.4291301845024128</v>
      </c>
    </row>
    <row r="623" spans="1:18" x14ac:dyDescent="0.3">
      <c r="A623" s="2">
        <v>619</v>
      </c>
      <c r="B623" s="2">
        <v>0</v>
      </c>
      <c r="C623" s="2">
        <v>36</v>
      </c>
      <c r="D623" s="2">
        <f t="shared" si="108"/>
        <v>1296</v>
      </c>
      <c r="E623" s="2">
        <v>82.471699999999998</v>
      </c>
      <c r="F623" s="2">
        <v>184.69569999999999</v>
      </c>
      <c r="G623" s="2">
        <v>0.79751399999999995</v>
      </c>
      <c r="H623" s="2">
        <v>1</v>
      </c>
      <c r="I623" s="3">
        <f t="shared" si="99"/>
        <v>1.1882151461963255</v>
      </c>
      <c r="J623" s="3">
        <f t="shared" si="100"/>
        <v>1.2251816929304087</v>
      </c>
      <c r="K623" s="3">
        <f t="shared" si="101"/>
        <v>0.77606814022067516</v>
      </c>
      <c r="L623" s="3">
        <f t="shared" si="102"/>
        <v>0.50002953368820979</v>
      </c>
      <c r="M623" s="3">
        <f t="shared" si="103"/>
        <v>1.0726510832133671</v>
      </c>
      <c r="N623" s="3">
        <f t="shared" si="104"/>
        <v>-1.4496510960581555</v>
      </c>
      <c r="O623" s="3">
        <f t="shared" si="105"/>
        <v>8.7058445912714458E-3</v>
      </c>
      <c r="P623" s="3">
        <f t="shared" si="106"/>
        <v>0.50217644740144241</v>
      </c>
      <c r="Q623" s="3">
        <f t="shared" si="107"/>
        <v>-0.69750957679191838</v>
      </c>
      <c r="R623" s="3">
        <f t="shared" si="109"/>
        <v>-0.50217644740144241</v>
      </c>
    </row>
    <row r="624" spans="1:18" x14ac:dyDescent="0.3">
      <c r="A624" s="2">
        <v>620</v>
      </c>
      <c r="B624" s="2">
        <v>0</v>
      </c>
      <c r="C624" s="2">
        <v>37</v>
      </c>
      <c r="D624" s="2">
        <f t="shared" si="108"/>
        <v>1369</v>
      </c>
      <c r="E624" s="2">
        <v>67.991699999999994</v>
      </c>
      <c r="F624" s="2">
        <v>187.14099999999999</v>
      </c>
      <c r="G624" s="2">
        <v>0.67754599999999998</v>
      </c>
      <c r="H624" s="2">
        <v>2</v>
      </c>
      <c r="I624" s="3">
        <f t="shared" si="99"/>
        <v>1.34115827223524</v>
      </c>
      <c r="J624" s="3">
        <f t="shared" si="100"/>
        <v>1.4211879948480377</v>
      </c>
      <c r="K624" s="3">
        <f t="shared" si="101"/>
        <v>-0.68764895315863628</v>
      </c>
      <c r="L624" s="3">
        <f t="shared" si="102"/>
        <v>0.74730628164242652</v>
      </c>
      <c r="M624" s="3">
        <f t="shared" si="103"/>
        <v>0.65345278741794088</v>
      </c>
      <c r="N624" s="3">
        <f t="shared" si="104"/>
        <v>-0.86179582596158</v>
      </c>
      <c r="O624" s="3">
        <f t="shared" si="105"/>
        <v>-6.8160216659373829E-2</v>
      </c>
      <c r="P624" s="3">
        <f t="shared" si="106"/>
        <v>0.48296653985017785</v>
      </c>
      <c r="Q624" s="3">
        <f t="shared" si="107"/>
        <v>-0.65964768674237084</v>
      </c>
      <c r="R624" s="3">
        <f t="shared" si="109"/>
        <v>-0.48296653985017785</v>
      </c>
    </row>
    <row r="625" spans="1:18" x14ac:dyDescent="0.3">
      <c r="A625" s="2">
        <v>621</v>
      </c>
      <c r="B625" s="2">
        <v>0</v>
      </c>
      <c r="C625" s="2">
        <v>35</v>
      </c>
      <c r="D625" s="2">
        <f t="shared" si="108"/>
        <v>1225</v>
      </c>
      <c r="E625" s="2">
        <v>83.028999999999996</v>
      </c>
      <c r="F625" s="2">
        <v>178.46170000000001</v>
      </c>
      <c r="G625" s="2">
        <v>0.546929</v>
      </c>
      <c r="H625" s="2">
        <v>1</v>
      </c>
      <c r="I625" s="3">
        <f t="shared" si="99"/>
        <v>1.0352720201574113</v>
      </c>
      <c r="J625" s="3">
        <f t="shared" si="100"/>
        <v>1.034545426681756</v>
      </c>
      <c r="K625" s="3">
        <f t="shared" si="101"/>
        <v>0.83240305293754591</v>
      </c>
      <c r="L625" s="3">
        <f t="shared" si="102"/>
        <v>-0.13037297183118673</v>
      </c>
      <c r="M625" s="3">
        <f t="shared" si="103"/>
        <v>0.19704421344895581</v>
      </c>
      <c r="N625" s="3">
        <f t="shared" si="104"/>
        <v>-1.4496510960581555</v>
      </c>
      <c r="O625" s="3">
        <f t="shared" si="105"/>
        <v>3.338323931507732E-2</v>
      </c>
      <c r="P625" s="3">
        <f t="shared" si="106"/>
        <v>0.50834503483931437</v>
      </c>
      <c r="Q625" s="3">
        <f t="shared" si="107"/>
        <v>-0.709978098832725</v>
      </c>
      <c r="R625" s="3">
        <f t="shared" si="109"/>
        <v>-0.50834503483931437</v>
      </c>
    </row>
    <row r="626" spans="1:18" x14ac:dyDescent="0.3">
      <c r="A626" s="2">
        <v>622</v>
      </c>
      <c r="B626" s="2">
        <v>0</v>
      </c>
      <c r="C626" s="2">
        <v>32</v>
      </c>
      <c r="D626" s="2">
        <f t="shared" si="108"/>
        <v>1024</v>
      </c>
      <c r="E626" s="2">
        <v>69.395499999999998</v>
      </c>
      <c r="F626" s="2">
        <v>171.27070000000001</v>
      </c>
      <c r="G626" s="2">
        <v>0.47509000000000001</v>
      </c>
      <c r="H626" s="2">
        <v>3</v>
      </c>
      <c r="I626" s="3">
        <f t="shared" si="99"/>
        <v>0.57644264204066809</v>
      </c>
      <c r="J626" s="3">
        <f t="shared" si="100"/>
        <v>0.49485684194965435</v>
      </c>
      <c r="K626" s="3">
        <f t="shared" si="101"/>
        <v>-0.54574522003115822</v>
      </c>
      <c r="L626" s="3">
        <f t="shared" si="102"/>
        <v>-0.85755045293320731</v>
      </c>
      <c r="M626" s="3">
        <f t="shared" si="103"/>
        <v>-5.3979279246159806E-2</v>
      </c>
      <c r="N626" s="3">
        <f t="shared" si="104"/>
        <v>-0.27394055586500432</v>
      </c>
      <c r="O626" s="3">
        <f t="shared" si="105"/>
        <v>-7.1647655611694588E-2</v>
      </c>
      <c r="P626" s="3">
        <f t="shared" si="106"/>
        <v>0.48209574456387977</v>
      </c>
      <c r="Q626" s="3">
        <f t="shared" si="107"/>
        <v>-0.65796488887216498</v>
      </c>
      <c r="R626" s="3">
        <f t="shared" si="109"/>
        <v>-0.48209574456387977</v>
      </c>
    </row>
    <row r="627" spans="1:18" x14ac:dyDescent="0.3">
      <c r="A627" s="2">
        <v>623</v>
      </c>
      <c r="B627" s="2">
        <v>1</v>
      </c>
      <c r="C627" s="2">
        <v>26</v>
      </c>
      <c r="D627" s="2">
        <f t="shared" si="108"/>
        <v>676</v>
      </c>
      <c r="E627" s="2">
        <v>93.195700000000002</v>
      </c>
      <c r="F627" s="2">
        <v>179.80250000000001</v>
      </c>
      <c r="G627" s="2">
        <v>0.92243399999999998</v>
      </c>
      <c r="H627" s="2">
        <v>3</v>
      </c>
      <c r="I627" s="3">
        <f t="shared" si="99"/>
        <v>-0.34121611419281822</v>
      </c>
      <c r="J627" s="3">
        <f t="shared" si="100"/>
        <v>-0.43952936445219321</v>
      </c>
      <c r="K627" s="3">
        <f t="shared" si="101"/>
        <v>1.8601083411460715</v>
      </c>
      <c r="L627" s="3">
        <f t="shared" si="102"/>
        <v>5.2131172609548261E-3</v>
      </c>
      <c r="M627" s="3">
        <f t="shared" si="103"/>
        <v>1.5091529096234488</v>
      </c>
      <c r="N627" s="3">
        <f t="shared" si="104"/>
        <v>-0.27394055586500432</v>
      </c>
      <c r="O627" s="3">
        <f t="shared" si="105"/>
        <v>0.11283122376863798</v>
      </c>
      <c r="P627" s="3">
        <f t="shared" si="106"/>
        <v>0.52817791813014925</v>
      </c>
      <c r="Q627" s="3">
        <f t="shared" si="107"/>
        <v>-0.63832208588063433</v>
      </c>
      <c r="R627" s="3">
        <f t="shared" si="109"/>
        <v>0.47182208186985075</v>
      </c>
    </row>
    <row r="628" spans="1:18" x14ac:dyDescent="0.3">
      <c r="A628" s="2">
        <v>624</v>
      </c>
      <c r="B628" s="2">
        <v>0</v>
      </c>
      <c r="C628" s="2">
        <v>34</v>
      </c>
      <c r="D628" s="2">
        <f t="shared" si="108"/>
        <v>1156</v>
      </c>
      <c r="E628" s="2">
        <v>66.718100000000007</v>
      </c>
      <c r="F628" s="2">
        <v>175.13419999999999</v>
      </c>
      <c r="G628" s="2">
        <v>7.2734999999999994E-2</v>
      </c>
      <c r="H628" s="2">
        <v>3</v>
      </c>
      <c r="I628" s="3">
        <f t="shared" si="99"/>
        <v>0.8823288941184968</v>
      </c>
      <c r="J628" s="3">
        <f t="shared" si="100"/>
        <v>0.84927919610207925</v>
      </c>
      <c r="K628" s="3">
        <f t="shared" si="101"/>
        <v>-0.81639136269785395</v>
      </c>
      <c r="L628" s="3">
        <f t="shared" si="102"/>
        <v>-0.46686067428800543</v>
      </c>
      <c r="M628" s="3">
        <f t="shared" si="103"/>
        <v>-1.4599086129415519</v>
      </c>
      <c r="N628" s="3">
        <f t="shared" si="104"/>
        <v>-0.27394055586500432</v>
      </c>
      <c r="O628" s="3">
        <f t="shared" si="105"/>
        <v>-2.7974874485476014E-2</v>
      </c>
      <c r="P628" s="3">
        <f t="shared" si="106"/>
        <v>0.49300673744622697</v>
      </c>
      <c r="Q628" s="3">
        <f t="shared" si="107"/>
        <v>-0.67925756432782547</v>
      </c>
      <c r="R628" s="3">
        <f t="shared" si="109"/>
        <v>-0.49300673744622697</v>
      </c>
    </row>
    <row r="629" spans="1:18" x14ac:dyDescent="0.3">
      <c r="A629" s="2">
        <v>625</v>
      </c>
      <c r="B629" s="2">
        <v>1</v>
      </c>
      <c r="C629" s="2">
        <v>31</v>
      </c>
      <c r="D629" s="2">
        <f t="shared" si="108"/>
        <v>961</v>
      </c>
      <c r="E629" s="2">
        <v>77.394800000000004</v>
      </c>
      <c r="F629" s="2">
        <v>172.03829999999999</v>
      </c>
      <c r="G629" s="2">
        <v>0.28060099999999999</v>
      </c>
      <c r="H629" s="2">
        <v>6</v>
      </c>
      <c r="I629" s="3">
        <f t="shared" si="99"/>
        <v>0.42349951600175367</v>
      </c>
      <c r="J629" s="3">
        <f t="shared" si="100"/>
        <v>0.32570071837690606</v>
      </c>
      <c r="K629" s="3">
        <f t="shared" si="101"/>
        <v>0.26286749716974861</v>
      </c>
      <c r="L629" s="3">
        <f t="shared" si="102"/>
        <v>-0.77992822591416933</v>
      </c>
      <c r="M629" s="3">
        <f t="shared" si="103"/>
        <v>-0.73357264873599626</v>
      </c>
      <c r="N629" s="3">
        <f t="shared" si="104"/>
        <v>1.4896252544247224</v>
      </c>
      <c r="O629" s="3">
        <f t="shared" si="105"/>
        <v>-5.66142954781532E-3</v>
      </c>
      <c r="P629" s="3">
        <f t="shared" si="106"/>
        <v>0.4985846463934282</v>
      </c>
      <c r="Q629" s="3">
        <f t="shared" si="107"/>
        <v>-0.69598190180156805</v>
      </c>
      <c r="R629" s="3">
        <f t="shared" si="109"/>
        <v>0.50141535360657175</v>
      </c>
    </row>
    <row r="630" spans="1:18" x14ac:dyDescent="0.3">
      <c r="A630" s="2">
        <v>626</v>
      </c>
      <c r="B630" s="2">
        <v>1</v>
      </c>
      <c r="C630" s="2">
        <v>32</v>
      </c>
      <c r="D630" s="2">
        <f t="shared" si="108"/>
        <v>1024</v>
      </c>
      <c r="E630" s="2">
        <v>67.1798</v>
      </c>
      <c r="F630" s="2">
        <v>183.38990000000001</v>
      </c>
      <c r="G630" s="2">
        <v>0.34993800000000003</v>
      </c>
      <c r="H630" s="2">
        <v>2</v>
      </c>
      <c r="I630" s="3">
        <f t="shared" si="99"/>
        <v>0.57644264204066809</v>
      </c>
      <c r="J630" s="3">
        <f t="shared" si="100"/>
        <v>0.49485684194965435</v>
      </c>
      <c r="K630" s="3">
        <f t="shared" si="101"/>
        <v>-0.76972021753119524</v>
      </c>
      <c r="L630" s="3">
        <f t="shared" si="102"/>
        <v>0.36798275927255114</v>
      </c>
      <c r="M630" s="3">
        <f t="shared" si="103"/>
        <v>-0.49129177187243683</v>
      </c>
      <c r="N630" s="3">
        <f t="shared" si="104"/>
        <v>-0.86179582596158</v>
      </c>
      <c r="O630" s="3">
        <f t="shared" si="105"/>
        <v>-3.1141814495952692E-2</v>
      </c>
      <c r="P630" s="3">
        <f t="shared" si="106"/>
        <v>0.49221517551758864</v>
      </c>
      <c r="Q630" s="3">
        <f t="shared" si="107"/>
        <v>-0.70883930948587326</v>
      </c>
      <c r="R630" s="3">
        <f t="shared" si="109"/>
        <v>0.50778482448241136</v>
      </c>
    </row>
    <row r="631" spans="1:18" x14ac:dyDescent="0.3">
      <c r="A631" s="2">
        <v>627</v>
      </c>
      <c r="B631" s="2">
        <v>0</v>
      </c>
      <c r="C631" s="2">
        <v>18</v>
      </c>
      <c r="D631" s="2">
        <f t="shared" si="108"/>
        <v>324</v>
      </c>
      <c r="E631" s="2">
        <v>97.227000000000004</v>
      </c>
      <c r="F631" s="2">
        <v>172.42009999999999</v>
      </c>
      <c r="G631" s="2">
        <v>0.78242599999999995</v>
      </c>
      <c r="H631" s="2">
        <v>6</v>
      </c>
      <c r="I631" s="3">
        <f t="shared" si="99"/>
        <v>-1.5647611225041334</v>
      </c>
      <c r="J631" s="3">
        <f t="shared" si="100"/>
        <v>-1.3846556421919931</v>
      </c>
      <c r="K631" s="3">
        <f t="shared" si="101"/>
        <v>2.2676140537524265</v>
      </c>
      <c r="L631" s="3">
        <f t="shared" si="102"/>
        <v>-0.74131935895759171</v>
      </c>
      <c r="M631" s="3">
        <f t="shared" si="103"/>
        <v>1.0199298251532063</v>
      </c>
      <c r="N631" s="3">
        <f t="shared" si="104"/>
        <v>1.4896252544247224</v>
      </c>
      <c r="O631" s="3">
        <f t="shared" si="105"/>
        <v>0.33506160690130998</v>
      </c>
      <c r="P631" s="3">
        <f t="shared" si="106"/>
        <v>0.58299043169100284</v>
      </c>
      <c r="Q631" s="3">
        <f t="shared" si="107"/>
        <v>-0.87464611186145647</v>
      </c>
      <c r="R631" s="3">
        <f t="shared" si="109"/>
        <v>-0.58299043169100284</v>
      </c>
    </row>
    <row r="632" spans="1:18" x14ac:dyDescent="0.3">
      <c r="A632" s="2">
        <v>628</v>
      </c>
      <c r="B632" s="2">
        <v>0</v>
      </c>
      <c r="C632" s="2">
        <v>38</v>
      </c>
      <c r="D632" s="2">
        <f t="shared" si="108"/>
        <v>1444</v>
      </c>
      <c r="E632" s="2">
        <v>62.6218</v>
      </c>
      <c r="F632" s="2">
        <v>164.3365</v>
      </c>
      <c r="G632" s="2">
        <v>0.99251500000000004</v>
      </c>
      <c r="H632" s="2">
        <v>2</v>
      </c>
      <c r="I632" s="3">
        <f t="shared" si="99"/>
        <v>1.4941013982741542</v>
      </c>
      <c r="J632" s="3">
        <f t="shared" si="100"/>
        <v>1.6225643324346428</v>
      </c>
      <c r="K632" s="3">
        <f t="shared" si="101"/>
        <v>-1.2304676285548761</v>
      </c>
      <c r="L632" s="3">
        <f t="shared" si="102"/>
        <v>-1.5587594766375088</v>
      </c>
      <c r="M632" s="3">
        <f t="shared" si="103"/>
        <v>1.7540335091803252</v>
      </c>
      <c r="N632" s="3">
        <f t="shared" si="104"/>
        <v>-0.86179582596158</v>
      </c>
      <c r="O632" s="3">
        <f t="shared" si="105"/>
        <v>-0.19810421584610566</v>
      </c>
      <c r="P632" s="3">
        <f t="shared" si="106"/>
        <v>0.45063528487854704</v>
      </c>
      <c r="Q632" s="3">
        <f t="shared" si="107"/>
        <v>-0.59899273177103718</v>
      </c>
      <c r="R632" s="3">
        <f t="shared" si="109"/>
        <v>-0.45063528487854704</v>
      </c>
    </row>
    <row r="633" spans="1:18" x14ac:dyDescent="0.3">
      <c r="A633" s="2">
        <v>629</v>
      </c>
      <c r="B633" s="2">
        <v>1</v>
      </c>
      <c r="C633" s="2">
        <v>39</v>
      </c>
      <c r="D633" s="2">
        <f t="shared" si="108"/>
        <v>1521</v>
      </c>
      <c r="E633" s="2">
        <v>80.243600000000001</v>
      </c>
      <c r="F633" s="2">
        <v>166.55889999999999</v>
      </c>
      <c r="G633" s="2">
        <v>0.240671</v>
      </c>
      <c r="H633" s="2">
        <v>1</v>
      </c>
      <c r="I633" s="3">
        <f t="shared" si="99"/>
        <v>1.6470445243130687</v>
      </c>
      <c r="J633" s="3">
        <f t="shared" si="100"/>
        <v>1.829310705690224</v>
      </c>
      <c r="K633" s="3">
        <f t="shared" si="101"/>
        <v>0.55083968333128019</v>
      </c>
      <c r="L633" s="3">
        <f t="shared" si="102"/>
        <v>-1.3340231070086497</v>
      </c>
      <c r="M633" s="3">
        <f t="shared" si="103"/>
        <v>-0.87309808844584691</v>
      </c>
      <c r="N633" s="3">
        <f t="shared" si="104"/>
        <v>-1.4496510960581555</v>
      </c>
      <c r="O633" s="3">
        <f t="shared" si="105"/>
        <v>5.1731540235126355E-2</v>
      </c>
      <c r="P633" s="3">
        <f t="shared" si="106"/>
        <v>0.5129300016329682</v>
      </c>
      <c r="Q633" s="3">
        <f t="shared" si="107"/>
        <v>-0.66761589217992878</v>
      </c>
      <c r="R633" s="3">
        <f t="shared" si="109"/>
        <v>0.4870699983670318</v>
      </c>
    </row>
    <row r="634" spans="1:18" x14ac:dyDescent="0.3">
      <c r="A634" s="2">
        <v>630</v>
      </c>
      <c r="B634" s="2">
        <v>1</v>
      </c>
      <c r="C634" s="2">
        <v>39</v>
      </c>
      <c r="D634" s="2">
        <f t="shared" si="108"/>
        <v>1521</v>
      </c>
      <c r="E634" s="2">
        <v>67.650899999999993</v>
      </c>
      <c r="F634" s="2">
        <v>163.9674</v>
      </c>
      <c r="G634" s="2">
        <v>0.87430699999999995</v>
      </c>
      <c r="H634" s="2">
        <v>6</v>
      </c>
      <c r="I634" s="3">
        <f t="shared" si="99"/>
        <v>1.6470445243130687</v>
      </c>
      <c r="J634" s="3">
        <f t="shared" si="100"/>
        <v>1.829310705690224</v>
      </c>
      <c r="K634" s="3">
        <f t="shared" si="101"/>
        <v>-0.72209886927905553</v>
      </c>
      <c r="L634" s="3">
        <f t="shared" si="102"/>
        <v>-1.5960840779829069</v>
      </c>
      <c r="M634" s="3">
        <f t="shared" si="103"/>
        <v>1.3409850950250017</v>
      </c>
      <c r="N634" s="3">
        <f t="shared" si="104"/>
        <v>1.4896252544247224</v>
      </c>
      <c r="O634" s="3">
        <f t="shared" si="105"/>
        <v>-0.17288160284468548</v>
      </c>
      <c r="P634" s="3">
        <f t="shared" si="106"/>
        <v>0.45688692630714622</v>
      </c>
      <c r="Q634" s="3">
        <f t="shared" si="107"/>
        <v>-0.78331934472655107</v>
      </c>
      <c r="R634" s="3">
        <f t="shared" si="109"/>
        <v>0.54311307369285378</v>
      </c>
    </row>
    <row r="635" spans="1:18" x14ac:dyDescent="0.3">
      <c r="A635" s="2">
        <v>631</v>
      </c>
      <c r="B635" s="2">
        <v>0</v>
      </c>
      <c r="C635" s="2">
        <v>20</v>
      </c>
      <c r="D635" s="2">
        <f t="shared" si="108"/>
        <v>400</v>
      </c>
      <c r="E635" s="2">
        <v>71.4589</v>
      </c>
      <c r="F635" s="2">
        <v>182.4751</v>
      </c>
      <c r="G635" s="2">
        <v>0.830623</v>
      </c>
      <c r="H635" s="2">
        <v>6</v>
      </c>
      <c r="I635" s="3">
        <f t="shared" si="99"/>
        <v>-1.2588748704263044</v>
      </c>
      <c r="J635" s="3">
        <f t="shared" si="100"/>
        <v>-1.1805942867708998</v>
      </c>
      <c r="K635" s="3">
        <f t="shared" si="101"/>
        <v>-0.33716553422460621</v>
      </c>
      <c r="L635" s="3">
        <f t="shared" si="102"/>
        <v>0.27547518595699866</v>
      </c>
      <c r="M635" s="3">
        <f t="shared" si="103"/>
        <v>1.1883422373168848</v>
      </c>
      <c r="N635" s="3">
        <f t="shared" si="104"/>
        <v>1.4896252544247224</v>
      </c>
      <c r="O635" s="3">
        <f t="shared" si="105"/>
        <v>0.11379742241654853</v>
      </c>
      <c r="P635" s="3">
        <f t="shared" si="106"/>
        <v>0.52841869406119546</v>
      </c>
      <c r="Q635" s="3">
        <f t="shared" si="107"/>
        <v>-0.75166375075937564</v>
      </c>
      <c r="R635" s="3">
        <f t="shared" si="109"/>
        <v>-0.52841869406119546</v>
      </c>
    </row>
    <row r="636" spans="1:18" x14ac:dyDescent="0.3">
      <c r="A636" s="2">
        <v>632</v>
      </c>
      <c r="B636" s="2">
        <v>0</v>
      </c>
      <c r="C636" s="2">
        <v>33</v>
      </c>
      <c r="D636" s="2">
        <f t="shared" si="108"/>
        <v>1089</v>
      </c>
      <c r="E636" s="2">
        <v>79.535399999999996</v>
      </c>
      <c r="F636" s="2">
        <v>181.50409999999999</v>
      </c>
      <c r="G636" s="2">
        <v>0.224657</v>
      </c>
      <c r="H636" s="2">
        <v>6</v>
      </c>
      <c r="I636" s="3">
        <f t="shared" si="99"/>
        <v>0.72938576807958244</v>
      </c>
      <c r="J636" s="3">
        <f t="shared" si="100"/>
        <v>0.66938300119137872</v>
      </c>
      <c r="K636" s="3">
        <f t="shared" si="101"/>
        <v>0.4792509785293993</v>
      </c>
      <c r="L636" s="3">
        <f t="shared" si="102"/>
        <v>0.17728448450378431</v>
      </c>
      <c r="M636" s="3">
        <f t="shared" si="103"/>
        <v>-0.92905502286892616</v>
      </c>
      <c r="N636" s="3">
        <f t="shared" si="104"/>
        <v>1.4896252544247224</v>
      </c>
      <c r="O636" s="3">
        <f t="shared" si="105"/>
        <v>2.7375920750921896E-2</v>
      </c>
      <c r="P636" s="3">
        <f t="shared" si="106"/>
        <v>0.50684355278979398</v>
      </c>
      <c r="Q636" s="3">
        <f t="shared" si="107"/>
        <v>-0.7069288181398502</v>
      </c>
      <c r="R636" s="3">
        <f t="shared" si="109"/>
        <v>-0.50684355278979398</v>
      </c>
    </row>
    <row r="637" spans="1:18" x14ac:dyDescent="0.3">
      <c r="A637" s="2">
        <v>633</v>
      </c>
      <c r="B637" s="2">
        <v>0</v>
      </c>
      <c r="C637" s="2">
        <v>28</v>
      </c>
      <c r="D637" s="2">
        <f t="shared" si="108"/>
        <v>784</v>
      </c>
      <c r="E637" s="2">
        <v>87.245800000000003</v>
      </c>
      <c r="F637" s="2">
        <v>181.0052</v>
      </c>
      <c r="G637" s="2">
        <v>0.39933299999999999</v>
      </c>
      <c r="H637" s="2">
        <v>4</v>
      </c>
      <c r="I637" s="3">
        <f t="shared" si="99"/>
        <v>-3.5329862114989473E-2</v>
      </c>
      <c r="J637" s="3">
        <f t="shared" si="100"/>
        <v>-0.14954743832748191</v>
      </c>
      <c r="K637" s="3">
        <f t="shared" si="101"/>
        <v>1.258660113666958</v>
      </c>
      <c r="L637" s="3">
        <f t="shared" si="102"/>
        <v>0.12683408187246847</v>
      </c>
      <c r="M637" s="3">
        <f t="shared" si="103"/>
        <v>-0.31869324709236985</v>
      </c>
      <c r="N637" s="3">
        <f t="shared" si="104"/>
        <v>0.31391471423157125</v>
      </c>
      <c r="O637" s="3">
        <f t="shared" si="105"/>
        <v>0.11280793140390642</v>
      </c>
      <c r="P637" s="3">
        <f t="shared" si="106"/>
        <v>0.52817211352917959</v>
      </c>
      <c r="Q637" s="3">
        <f t="shared" si="107"/>
        <v>-0.75114100720416155</v>
      </c>
      <c r="R637" s="3">
        <f t="shared" si="109"/>
        <v>-0.52817211352917959</v>
      </c>
    </row>
    <row r="638" spans="1:18" x14ac:dyDescent="0.3">
      <c r="A638" s="2">
        <v>634</v>
      </c>
      <c r="B638" s="2">
        <v>1</v>
      </c>
      <c r="C638" s="2">
        <v>29</v>
      </c>
      <c r="D638" s="2">
        <f t="shared" si="108"/>
        <v>841</v>
      </c>
      <c r="E638" s="2">
        <v>91.233999999999995</v>
      </c>
      <c r="F638" s="2">
        <v>185.87729999999999</v>
      </c>
      <c r="G638" s="2">
        <v>0.40967300000000001</v>
      </c>
      <c r="H638" s="2">
        <v>1</v>
      </c>
      <c r="I638" s="3">
        <f t="shared" si="99"/>
        <v>0.1176132639239249</v>
      </c>
      <c r="J638" s="3">
        <f t="shared" si="100"/>
        <v>3.4985782383379449E-3</v>
      </c>
      <c r="K638" s="3">
        <f t="shared" si="101"/>
        <v>1.6618090440409468</v>
      </c>
      <c r="L638" s="3">
        <f t="shared" si="102"/>
        <v>0.61951679716618913</v>
      </c>
      <c r="M638" s="3">
        <f t="shared" si="103"/>
        <v>-0.28256269245676108</v>
      </c>
      <c r="N638" s="3">
        <f t="shared" si="104"/>
        <v>-1.4496510960581555</v>
      </c>
      <c r="O638" s="3">
        <f t="shared" si="105"/>
        <v>0.16045303780230769</v>
      </c>
      <c r="P638" s="3">
        <f t="shared" si="106"/>
        <v>0.5400274201903168</v>
      </c>
      <c r="Q638" s="3">
        <f t="shared" si="107"/>
        <v>-0.61613536258276635</v>
      </c>
      <c r="R638" s="3">
        <f t="shared" si="109"/>
        <v>0.4599725798096832</v>
      </c>
    </row>
    <row r="639" spans="1:18" x14ac:dyDescent="0.3">
      <c r="A639" s="2">
        <v>635</v>
      </c>
      <c r="B639" s="2">
        <v>1</v>
      </c>
      <c r="C639" s="2">
        <v>27</v>
      </c>
      <c r="D639" s="2">
        <f t="shared" si="108"/>
        <v>729</v>
      </c>
      <c r="E639" s="2">
        <v>59.630499999999998</v>
      </c>
      <c r="F639" s="2">
        <v>191.9196</v>
      </c>
      <c r="G639" s="2">
        <v>0.97822100000000001</v>
      </c>
      <c r="H639" s="2">
        <v>3</v>
      </c>
      <c r="I639" s="3">
        <f t="shared" si="99"/>
        <v>-0.18827298815390386</v>
      </c>
      <c r="J639" s="3">
        <f t="shared" si="100"/>
        <v>-0.29722341922432566</v>
      </c>
      <c r="K639" s="3">
        <f t="shared" si="101"/>
        <v>-1.5328444891505624</v>
      </c>
      <c r="L639" s="3">
        <f t="shared" si="102"/>
        <v>1.2305339705861231</v>
      </c>
      <c r="M639" s="3">
        <f t="shared" si="103"/>
        <v>1.7040866863600741</v>
      </c>
      <c r="N639" s="3">
        <f t="shared" si="104"/>
        <v>-0.27394055586500432</v>
      </c>
      <c r="O639" s="3">
        <f t="shared" si="105"/>
        <v>-0.10700289482235367</v>
      </c>
      <c r="P639" s="3">
        <f t="shared" si="106"/>
        <v>0.47327477090509928</v>
      </c>
      <c r="Q639" s="3">
        <f t="shared" si="107"/>
        <v>-0.74807914814924759</v>
      </c>
      <c r="R639" s="3">
        <f t="shared" si="109"/>
        <v>0.52672522909490072</v>
      </c>
    </row>
    <row r="640" spans="1:18" x14ac:dyDescent="0.3">
      <c r="A640" s="2">
        <v>636</v>
      </c>
      <c r="B640" s="2">
        <v>0</v>
      </c>
      <c r="C640" s="2">
        <v>33</v>
      </c>
      <c r="D640" s="2">
        <f t="shared" si="108"/>
        <v>1089</v>
      </c>
      <c r="E640" s="2">
        <v>77.677499999999995</v>
      </c>
      <c r="F640" s="2">
        <v>174.07730000000001</v>
      </c>
      <c r="G640" s="2">
        <v>0.180892</v>
      </c>
      <c r="H640" s="2">
        <v>1</v>
      </c>
      <c r="I640" s="3">
        <f t="shared" si="99"/>
        <v>0.72938576807958244</v>
      </c>
      <c r="J640" s="3">
        <f t="shared" si="100"/>
        <v>0.66938300119137872</v>
      </c>
      <c r="K640" s="3">
        <f t="shared" si="101"/>
        <v>0.29144434953841702</v>
      </c>
      <c r="L640" s="3">
        <f t="shared" si="102"/>
        <v>-0.57373786519006553</v>
      </c>
      <c r="M640" s="3">
        <f t="shared" si="103"/>
        <v>-1.0819809149025255</v>
      </c>
      <c r="N640" s="3">
        <f t="shared" si="104"/>
        <v>-1.4496510960581555</v>
      </c>
      <c r="O640" s="3">
        <f t="shared" si="105"/>
        <v>4.514234646894378E-2</v>
      </c>
      <c r="P640" s="3">
        <f t="shared" si="106"/>
        <v>0.51128367049743451</v>
      </c>
      <c r="Q640" s="3">
        <f t="shared" si="107"/>
        <v>-0.71597306109900272</v>
      </c>
      <c r="R640" s="3">
        <f t="shared" si="109"/>
        <v>-0.51128367049743451</v>
      </c>
    </row>
    <row r="641" spans="1:18" x14ac:dyDescent="0.3">
      <c r="A641" s="2">
        <v>637</v>
      </c>
      <c r="B641" s="2">
        <v>1</v>
      </c>
      <c r="C641" s="2">
        <v>25</v>
      </c>
      <c r="D641" s="2">
        <f t="shared" si="108"/>
        <v>625</v>
      </c>
      <c r="E641" s="2">
        <v>89.594899999999996</v>
      </c>
      <c r="F641" s="2">
        <v>184.06479999999999</v>
      </c>
      <c r="G641" s="2">
        <v>0.79915800000000004</v>
      </c>
      <c r="H641" s="2">
        <v>4</v>
      </c>
      <c r="I641" s="3">
        <f t="shared" si="99"/>
        <v>-0.49415924023173263</v>
      </c>
      <c r="J641" s="3">
        <f t="shared" si="100"/>
        <v>-0.57646527401108472</v>
      </c>
      <c r="K641" s="3">
        <f t="shared" si="101"/>
        <v>1.4961199081460554</v>
      </c>
      <c r="L641" s="3">
        <f t="shared" si="102"/>
        <v>0.43623085856273874</v>
      </c>
      <c r="M641" s="3">
        <f t="shared" si="103"/>
        <v>1.0783956317453733</v>
      </c>
      <c r="N641" s="3">
        <f t="shared" si="104"/>
        <v>0.31391471423157125</v>
      </c>
      <c r="O641" s="3">
        <f t="shared" si="105"/>
        <v>0.12870670560991054</v>
      </c>
      <c r="P641" s="3">
        <f t="shared" si="106"/>
        <v>0.5321323315241383</v>
      </c>
      <c r="Q641" s="3">
        <f t="shared" si="107"/>
        <v>-0.63086307710559408</v>
      </c>
      <c r="R641" s="3">
        <f t="shared" si="109"/>
        <v>0.4678676684758617</v>
      </c>
    </row>
    <row r="642" spans="1:18" x14ac:dyDescent="0.3">
      <c r="A642" s="2">
        <v>638</v>
      </c>
      <c r="B642" s="2">
        <v>1</v>
      </c>
      <c r="C642" s="2">
        <v>23</v>
      </c>
      <c r="D642" s="2">
        <f t="shared" si="108"/>
        <v>529</v>
      </c>
      <c r="E642" s="2">
        <v>58.146900000000002</v>
      </c>
      <c r="F642" s="2">
        <v>164.2038</v>
      </c>
      <c r="G642" s="2">
        <v>0.33419300000000002</v>
      </c>
      <c r="H642" s="2">
        <v>2</v>
      </c>
      <c r="I642" s="3">
        <f t="shared" si="99"/>
        <v>-0.80004549230956135</v>
      </c>
      <c r="J642" s="3">
        <f t="shared" si="100"/>
        <v>-0.83422698612193913</v>
      </c>
      <c r="K642" s="3">
        <f t="shared" si="101"/>
        <v>-1.682814839961166</v>
      </c>
      <c r="L642" s="3">
        <f t="shared" si="102"/>
        <v>-1.5721785354251931</v>
      </c>
      <c r="M642" s="3">
        <f t="shared" si="103"/>
        <v>-0.54630875279484103</v>
      </c>
      <c r="N642" s="3">
        <f t="shared" si="104"/>
        <v>-0.86179582596158</v>
      </c>
      <c r="O642" s="3">
        <f t="shared" si="105"/>
        <v>4.8452260178518027E-3</v>
      </c>
      <c r="P642" s="3">
        <f t="shared" si="106"/>
        <v>0.50121130413472748</v>
      </c>
      <c r="Q642" s="3">
        <f t="shared" si="107"/>
        <v>-0.69072750207504452</v>
      </c>
      <c r="R642" s="3">
        <f t="shared" si="109"/>
        <v>0.49878869586527252</v>
      </c>
    </row>
    <row r="643" spans="1:18" x14ac:dyDescent="0.3">
      <c r="A643" s="2">
        <v>639</v>
      </c>
      <c r="B643" s="2">
        <v>0</v>
      </c>
      <c r="C643" s="2">
        <v>29</v>
      </c>
      <c r="D643" s="2">
        <f t="shared" si="108"/>
        <v>841</v>
      </c>
      <c r="E643" s="2">
        <v>78.143799999999999</v>
      </c>
      <c r="F643" s="2">
        <v>193.78710000000001</v>
      </c>
      <c r="G643" s="2">
        <v>0.73087000000000002</v>
      </c>
      <c r="H643" s="2">
        <v>1</v>
      </c>
      <c r="I643" s="3">
        <f t="shared" si="99"/>
        <v>0.1176132639239249</v>
      </c>
      <c r="J643" s="3">
        <f t="shared" si="100"/>
        <v>3.4985782383379449E-3</v>
      </c>
      <c r="K643" s="3">
        <f t="shared" si="101"/>
        <v>0.33858048770435478</v>
      </c>
      <c r="L643" s="3">
        <f t="shared" si="102"/>
        <v>1.419381689395472</v>
      </c>
      <c r="M643" s="3">
        <f t="shared" si="103"/>
        <v>0.83978022410935305</v>
      </c>
      <c r="N643" s="3">
        <f t="shared" si="104"/>
        <v>-1.4496510960581555</v>
      </c>
      <c r="O643" s="3">
        <f t="shared" si="105"/>
        <v>4.4543215303179375E-2</v>
      </c>
      <c r="P643" s="3">
        <f t="shared" si="106"/>
        <v>0.51113396298050007</v>
      </c>
      <c r="Q643" s="3">
        <f t="shared" si="107"/>
        <v>-0.7156667799645805</v>
      </c>
      <c r="R643" s="3">
        <f t="shared" si="109"/>
        <v>-0.51113396298050007</v>
      </c>
    </row>
    <row r="644" spans="1:18" x14ac:dyDescent="0.3">
      <c r="A644" s="2">
        <v>640</v>
      </c>
      <c r="B644" s="2">
        <v>0</v>
      </c>
      <c r="C644" s="2">
        <v>38</v>
      </c>
      <c r="D644" s="2">
        <f t="shared" si="108"/>
        <v>1444</v>
      </c>
      <c r="E644" s="2">
        <v>74.979200000000006</v>
      </c>
      <c r="F644" s="2">
        <v>167.55170000000001</v>
      </c>
      <c r="G644" s="2">
        <v>0.42001100000000002</v>
      </c>
      <c r="H644" s="2">
        <v>6</v>
      </c>
      <c r="I644" s="3">
        <f t="shared" si="99"/>
        <v>1.4941013982741542</v>
      </c>
      <c r="J644" s="3">
        <f t="shared" si="100"/>
        <v>1.6225643324346428</v>
      </c>
      <c r="K644" s="3">
        <f t="shared" si="101"/>
        <v>1.8685521288045546E-2</v>
      </c>
      <c r="L644" s="3">
        <f t="shared" si="102"/>
        <v>-1.2336279181283691</v>
      </c>
      <c r="M644" s="3">
        <f t="shared" si="103"/>
        <v>-0.24643912632301601</v>
      </c>
      <c r="N644" s="3">
        <f t="shared" si="104"/>
        <v>1.4896252544247224</v>
      </c>
      <c r="O644" s="3">
        <f t="shared" si="105"/>
        <v>-5.644361085915732E-2</v>
      </c>
      <c r="P644" s="3">
        <f t="shared" si="106"/>
        <v>0.48589284239704789</v>
      </c>
      <c r="Q644" s="3">
        <f t="shared" si="107"/>
        <v>-0.66532355742869909</v>
      </c>
      <c r="R644" s="3">
        <f t="shared" si="109"/>
        <v>-0.48589284239704789</v>
      </c>
    </row>
    <row r="645" spans="1:18" x14ac:dyDescent="0.3">
      <c r="A645" s="2">
        <v>641</v>
      </c>
      <c r="B645" s="2">
        <v>1</v>
      </c>
      <c r="C645" s="2">
        <v>25</v>
      </c>
      <c r="D645" s="2">
        <f t="shared" si="108"/>
        <v>625</v>
      </c>
      <c r="E645" s="2">
        <v>79.145399999999995</v>
      </c>
      <c r="F645" s="2">
        <v>172.89920000000001</v>
      </c>
      <c r="G645" s="2">
        <v>0.57835999999999999</v>
      </c>
      <c r="H645" s="2">
        <v>3</v>
      </c>
      <c r="I645" s="3">
        <f t="shared" ref="I645:I708" si="110">(C645-$V$3)/$W$3</f>
        <v>-0.49415924023173263</v>
      </c>
      <c r="J645" s="3">
        <f t="shared" ref="J645:J708" si="111" xml:space="preserve"> (D645- $V$8)/$W$8</f>
        <v>-0.57646527401108472</v>
      </c>
      <c r="K645" s="3">
        <f t="shared" ref="K645:K708" si="112">(E645-$V$4)/$W$4</f>
        <v>0.43982765902539844</v>
      </c>
      <c r="L645" s="3">
        <f t="shared" ref="L645:L708" si="113">(F645-$V$5)/$W$5</f>
        <v>-0.69287119720039658</v>
      </c>
      <c r="M645" s="3">
        <f t="shared" ref="M645:M708" si="114">(G645-$V$6)/$W$6</f>
        <v>0.30687201448878348</v>
      </c>
      <c r="N645" s="3">
        <f t="shared" ref="N645:N708" si="115">(H645-$V$7)/$W$7</f>
        <v>-0.27394055586500432</v>
      </c>
      <c r="O645" s="3">
        <f t="shared" ref="O645:O708" si="116">$V$11+$V$12*I645+$V$17*J645+$V$13*K645+$V$14*L645+$V$15*M645+$V$16*N645</f>
        <v>7.4274004286548012E-2</v>
      </c>
      <c r="P645" s="3">
        <f t="shared" ref="P645:P708" si="117">1/(1+EXP(-O645))</f>
        <v>0.51855996948586469</v>
      </c>
      <c r="Q645" s="3">
        <f t="shared" ref="Q645:Q708" si="118">B645*LN(P645)+(1-B645)*LN(1-P645)</f>
        <v>-0.6566995984328835</v>
      </c>
      <c r="R645" s="3">
        <f t="shared" si="109"/>
        <v>0.48144003051413531</v>
      </c>
    </row>
    <row r="646" spans="1:18" x14ac:dyDescent="0.3">
      <c r="A646" s="2">
        <v>642</v>
      </c>
      <c r="B646" s="2">
        <v>1</v>
      </c>
      <c r="C646" s="2">
        <v>21</v>
      </c>
      <c r="D646" s="2">
        <f t="shared" ref="D646:D709" si="119">C646^2</f>
        <v>441</v>
      </c>
      <c r="E646" s="2">
        <v>67.277000000000001</v>
      </c>
      <c r="F646" s="2">
        <v>174.02289999999999</v>
      </c>
      <c r="G646" s="2">
        <v>0.83261200000000002</v>
      </c>
      <c r="H646" s="2">
        <v>3</v>
      </c>
      <c r="I646" s="3">
        <f t="shared" si="110"/>
        <v>-1.1059317443873902</v>
      </c>
      <c r="J646" s="3">
        <f t="shared" si="111"/>
        <v>-1.0705085555568892</v>
      </c>
      <c r="K646" s="3">
        <f t="shared" si="112"/>
        <v>-0.75989471328558267</v>
      </c>
      <c r="L646" s="3">
        <f t="shared" si="113"/>
        <v>-0.57923897143008229</v>
      </c>
      <c r="M646" s="3">
        <f t="shared" si="114"/>
        <v>1.1952923024203883</v>
      </c>
      <c r="N646" s="3">
        <f t="shared" si="115"/>
        <v>-0.27394055586500432</v>
      </c>
      <c r="O646" s="3">
        <f t="shared" si="116"/>
        <v>6.0303964159332341E-2</v>
      </c>
      <c r="P646" s="3">
        <f t="shared" si="117"/>
        <v>0.51507142396167571</v>
      </c>
      <c r="Q646" s="3">
        <f t="shared" si="118"/>
        <v>-0.66344970063037134</v>
      </c>
      <c r="R646" s="3">
        <f t="shared" ref="R646:R709" si="120">B646-P646</f>
        <v>0.48492857603832429</v>
      </c>
    </row>
    <row r="647" spans="1:18" x14ac:dyDescent="0.3">
      <c r="A647" s="2">
        <v>643</v>
      </c>
      <c r="B647" s="2">
        <v>0</v>
      </c>
      <c r="C647" s="2">
        <v>25</v>
      </c>
      <c r="D647" s="2">
        <f t="shared" si="119"/>
        <v>625</v>
      </c>
      <c r="E647" s="2">
        <v>60.643799999999999</v>
      </c>
      <c r="F647" s="2">
        <v>164.7373</v>
      </c>
      <c r="G647" s="2">
        <v>0.80416600000000005</v>
      </c>
      <c r="H647" s="2">
        <v>2</v>
      </c>
      <c r="I647" s="3">
        <f t="shared" si="110"/>
        <v>-0.49415924023173263</v>
      </c>
      <c r="J647" s="3">
        <f t="shared" si="111"/>
        <v>-0.57646527401108472</v>
      </c>
      <c r="K647" s="3">
        <f t="shared" si="112"/>
        <v>-1.4304146182443982</v>
      </c>
      <c r="L647" s="3">
        <f t="shared" si="113"/>
        <v>-1.518229267427984</v>
      </c>
      <c r="M647" s="3">
        <f t="shared" si="114"/>
        <v>1.0958948404122137</v>
      </c>
      <c r="N647" s="3">
        <f t="shared" si="115"/>
        <v>-0.86179582596158</v>
      </c>
      <c r="O647" s="3">
        <f t="shared" si="116"/>
        <v>-9.2803983590182368E-2</v>
      </c>
      <c r="P647" s="3">
        <f t="shared" si="117"/>
        <v>0.47681564147508504</v>
      </c>
      <c r="Q647" s="3">
        <f t="shared" si="118"/>
        <v>-0.64782137507174897</v>
      </c>
      <c r="R647" s="3">
        <f t="shared" si="120"/>
        <v>-0.47681564147508504</v>
      </c>
    </row>
    <row r="648" spans="1:18" x14ac:dyDescent="0.3">
      <c r="A648" s="2">
        <v>644</v>
      </c>
      <c r="B648" s="2">
        <v>0</v>
      </c>
      <c r="C648" s="2">
        <v>35</v>
      </c>
      <c r="D648" s="2">
        <f t="shared" si="119"/>
        <v>1225</v>
      </c>
      <c r="E648" s="2">
        <v>55.868899999999996</v>
      </c>
      <c r="F648" s="2">
        <v>180.32579999999999</v>
      </c>
      <c r="G648" s="2">
        <v>0.86642300000000005</v>
      </c>
      <c r="H648" s="2">
        <v>1</v>
      </c>
      <c r="I648" s="3">
        <f t="shared" si="110"/>
        <v>1.0352720201574113</v>
      </c>
      <c r="J648" s="3">
        <f t="shared" si="111"/>
        <v>1.034545426681756</v>
      </c>
      <c r="K648" s="3">
        <f t="shared" si="112"/>
        <v>-1.9130874600383814</v>
      </c>
      <c r="L648" s="3">
        <f t="shared" si="113"/>
        <v>5.813092783815841E-2</v>
      </c>
      <c r="M648" s="3">
        <f t="shared" si="114"/>
        <v>1.3134364206780835</v>
      </c>
      <c r="N648" s="3">
        <f t="shared" si="115"/>
        <v>-1.4496510960581555</v>
      </c>
      <c r="O648" s="3">
        <f t="shared" si="116"/>
        <v>-0.18968599463194091</v>
      </c>
      <c r="P648" s="3">
        <f t="shared" si="117"/>
        <v>0.45272018012153498</v>
      </c>
      <c r="Q648" s="3">
        <f t="shared" si="118"/>
        <v>-0.60279505365080344</v>
      </c>
      <c r="R648" s="3">
        <f t="shared" si="120"/>
        <v>-0.45272018012153498</v>
      </c>
    </row>
    <row r="649" spans="1:18" x14ac:dyDescent="0.3">
      <c r="A649" s="2">
        <v>645</v>
      </c>
      <c r="B649" s="2">
        <v>0</v>
      </c>
      <c r="C649" s="2">
        <v>22</v>
      </c>
      <c r="D649" s="2">
        <f t="shared" si="119"/>
        <v>484</v>
      </c>
      <c r="E649" s="2">
        <v>84.763800000000003</v>
      </c>
      <c r="F649" s="2">
        <v>182.13900000000001</v>
      </c>
      <c r="G649" s="2">
        <v>5.9617000000000003E-2</v>
      </c>
      <c r="H649" s="2">
        <v>4</v>
      </c>
      <c r="I649" s="3">
        <f t="shared" si="110"/>
        <v>-0.9529886183484757</v>
      </c>
      <c r="J649" s="3">
        <f t="shared" si="111"/>
        <v>-0.9550527886739022</v>
      </c>
      <c r="K649" s="3">
        <f t="shared" si="112"/>
        <v>1.0077660649261122</v>
      </c>
      <c r="L649" s="3">
        <f t="shared" si="113"/>
        <v>0.24148765273514075</v>
      </c>
      <c r="M649" s="3">
        <f t="shared" si="114"/>
        <v>-1.5057461966659151</v>
      </c>
      <c r="N649" s="3">
        <f t="shared" si="115"/>
        <v>0.31391471423157125</v>
      </c>
      <c r="O649" s="3">
        <f t="shared" si="116"/>
        <v>0.27367099037512993</v>
      </c>
      <c r="P649" s="3">
        <f t="shared" si="117"/>
        <v>0.56799390482485823</v>
      </c>
      <c r="Q649" s="3">
        <f t="shared" si="118"/>
        <v>-0.83931558163584352</v>
      </c>
      <c r="R649" s="3">
        <f t="shared" si="120"/>
        <v>-0.56799390482485823</v>
      </c>
    </row>
    <row r="650" spans="1:18" x14ac:dyDescent="0.3">
      <c r="A650" s="2">
        <v>646</v>
      </c>
      <c r="B650" s="2">
        <v>0</v>
      </c>
      <c r="C650" s="2">
        <v>26</v>
      </c>
      <c r="D650" s="2">
        <f t="shared" si="119"/>
        <v>676</v>
      </c>
      <c r="E650" s="2">
        <v>86.040499999999994</v>
      </c>
      <c r="F650" s="2">
        <v>178.10589999999999</v>
      </c>
      <c r="G650" s="2">
        <v>0.69205099999999997</v>
      </c>
      <c r="H650" s="2">
        <v>2</v>
      </c>
      <c r="I650" s="3">
        <f t="shared" si="110"/>
        <v>-0.34121611419281822</v>
      </c>
      <c r="J650" s="3">
        <f t="shared" si="111"/>
        <v>-0.43952936445219321</v>
      </c>
      <c r="K650" s="3">
        <f t="shared" si="112"/>
        <v>1.1368218393126697</v>
      </c>
      <c r="L650" s="3">
        <f t="shared" si="113"/>
        <v>-0.16635263359952362</v>
      </c>
      <c r="M650" s="3">
        <f t="shared" si="114"/>
        <v>0.70413689718481753</v>
      </c>
      <c r="N650" s="3">
        <f t="shared" si="115"/>
        <v>-0.86179582596158</v>
      </c>
      <c r="O650" s="3">
        <f t="shared" si="116"/>
        <v>0.10384769350436307</v>
      </c>
      <c r="P650" s="3">
        <f t="shared" si="117"/>
        <v>0.5259386166523552</v>
      </c>
      <c r="Q650" s="3">
        <f t="shared" si="118"/>
        <v>-0.7464184649381288</v>
      </c>
      <c r="R650" s="3">
        <f t="shared" si="120"/>
        <v>-0.5259386166523552</v>
      </c>
    </row>
    <row r="651" spans="1:18" x14ac:dyDescent="0.3">
      <c r="A651" s="2">
        <v>647</v>
      </c>
      <c r="B651" s="2">
        <v>0</v>
      </c>
      <c r="C651" s="2">
        <v>21</v>
      </c>
      <c r="D651" s="2">
        <f t="shared" si="119"/>
        <v>441</v>
      </c>
      <c r="E651" s="2">
        <v>78.026899999999998</v>
      </c>
      <c r="F651" s="2">
        <v>164.5975</v>
      </c>
      <c r="G651" s="2">
        <v>0.139987</v>
      </c>
      <c r="H651" s="2">
        <v>1</v>
      </c>
      <c r="I651" s="3">
        <f t="shared" si="110"/>
        <v>-1.1059317443873902</v>
      </c>
      <c r="J651" s="3">
        <f t="shared" si="111"/>
        <v>-1.0705085555568892</v>
      </c>
      <c r="K651" s="3">
        <f t="shared" si="112"/>
        <v>0.326763600396617</v>
      </c>
      <c r="L651" s="3">
        <f t="shared" si="113"/>
        <v>-1.5323663014786124</v>
      </c>
      <c r="M651" s="3">
        <f t="shared" si="114"/>
        <v>-1.2249132492709562</v>
      </c>
      <c r="N651" s="3">
        <f t="shared" si="115"/>
        <v>-1.4496510960581555</v>
      </c>
      <c r="O651" s="3">
        <f t="shared" si="116"/>
        <v>0.22870667742415607</v>
      </c>
      <c r="P651" s="3">
        <f t="shared" si="117"/>
        <v>0.55692873899965378</v>
      </c>
      <c r="Q651" s="3">
        <f t="shared" si="118"/>
        <v>-0.81402466182766309</v>
      </c>
      <c r="R651" s="3">
        <f t="shared" si="120"/>
        <v>-0.55692873899965378</v>
      </c>
    </row>
    <row r="652" spans="1:18" x14ac:dyDescent="0.3">
      <c r="A652" s="2">
        <v>648</v>
      </c>
      <c r="B652" s="2">
        <v>1</v>
      </c>
      <c r="C652" s="2">
        <v>39</v>
      </c>
      <c r="D652" s="2">
        <f t="shared" si="119"/>
        <v>1521</v>
      </c>
      <c r="E652" s="2">
        <v>69.658500000000004</v>
      </c>
      <c r="F652" s="2">
        <v>199.8339</v>
      </c>
      <c r="G652" s="2">
        <v>0.41581899999999999</v>
      </c>
      <c r="H652" s="2">
        <v>5</v>
      </c>
      <c r="I652" s="3">
        <f t="shared" si="110"/>
        <v>1.6470445243130687</v>
      </c>
      <c r="J652" s="3">
        <f t="shared" si="111"/>
        <v>1.829310705690224</v>
      </c>
      <c r="K652" s="3">
        <f t="shared" si="112"/>
        <v>-0.51915975072461351</v>
      </c>
      <c r="L652" s="3">
        <f t="shared" si="113"/>
        <v>2.0308539175595226</v>
      </c>
      <c r="M652" s="3">
        <f t="shared" si="114"/>
        <v>-0.26108702622944474</v>
      </c>
      <c r="N652" s="3">
        <f t="shared" si="115"/>
        <v>0.90176998432814681</v>
      </c>
      <c r="O652" s="3">
        <f t="shared" si="116"/>
        <v>7.7602275869157085E-4</v>
      </c>
      <c r="P652" s="3">
        <f t="shared" si="117"/>
        <v>0.50019400567993688</v>
      </c>
      <c r="Q652" s="3">
        <f t="shared" si="118"/>
        <v>-0.69275924445701287</v>
      </c>
      <c r="R652" s="3">
        <f t="shared" si="120"/>
        <v>0.49980599432006312</v>
      </c>
    </row>
    <row r="653" spans="1:18" x14ac:dyDescent="0.3">
      <c r="A653" s="2">
        <v>649</v>
      </c>
      <c r="B653" s="2">
        <v>1</v>
      </c>
      <c r="C653" s="2">
        <v>34</v>
      </c>
      <c r="D653" s="2">
        <f t="shared" si="119"/>
        <v>1156</v>
      </c>
      <c r="E653" s="2">
        <v>58.769500000000001</v>
      </c>
      <c r="F653" s="2">
        <v>185.4923</v>
      </c>
      <c r="G653" s="2">
        <v>0.54858799999999996</v>
      </c>
      <c r="H653" s="2">
        <v>3</v>
      </c>
      <c r="I653" s="3">
        <f t="shared" si="110"/>
        <v>0.8823288941184968</v>
      </c>
      <c r="J653" s="3">
        <f t="shared" si="111"/>
        <v>0.84927919610207925</v>
      </c>
      <c r="K653" s="3">
        <f t="shared" si="112"/>
        <v>-1.6198790483632408</v>
      </c>
      <c r="L653" s="3">
        <f t="shared" si="113"/>
        <v>0.58058433572490542</v>
      </c>
      <c r="M653" s="3">
        <f t="shared" si="114"/>
        <v>0.20284117574493973</v>
      </c>
      <c r="N653" s="3">
        <f t="shared" si="115"/>
        <v>-0.27394055586500432</v>
      </c>
      <c r="O653" s="3">
        <f t="shared" si="116"/>
        <v>-0.12704008531748032</v>
      </c>
      <c r="P653" s="3">
        <f t="shared" si="117"/>
        <v>0.46828262491149658</v>
      </c>
      <c r="Q653" s="3">
        <f t="shared" si="118"/>
        <v>-0.75868326595480362</v>
      </c>
      <c r="R653" s="3">
        <f t="shared" si="120"/>
        <v>0.53171737508850336</v>
      </c>
    </row>
    <row r="654" spans="1:18" x14ac:dyDescent="0.3">
      <c r="A654" s="2">
        <v>650</v>
      </c>
      <c r="B654" s="2">
        <v>1</v>
      </c>
      <c r="C654" s="2">
        <v>26</v>
      </c>
      <c r="D654" s="2">
        <f t="shared" si="119"/>
        <v>676</v>
      </c>
      <c r="E654" s="2">
        <v>80.633499999999998</v>
      </c>
      <c r="F654" s="2">
        <v>206.34219999999999</v>
      </c>
      <c r="G654" s="2">
        <v>0.40273900000000001</v>
      </c>
      <c r="H654" s="2">
        <v>4</v>
      </c>
      <c r="I654" s="3">
        <f t="shared" si="110"/>
        <v>-0.34121611419281822</v>
      </c>
      <c r="J654" s="3">
        <f t="shared" si="111"/>
        <v>-0.43952936445219321</v>
      </c>
      <c r="K654" s="3">
        <f t="shared" si="112"/>
        <v>0.59025289429181815</v>
      </c>
      <c r="L654" s="3">
        <f t="shared" si="113"/>
        <v>2.6889945378148798</v>
      </c>
      <c r="M654" s="3">
        <f t="shared" si="114"/>
        <v>-0.30679182841839653</v>
      </c>
      <c r="N654" s="3">
        <f t="shared" si="115"/>
        <v>0.31391471423157125</v>
      </c>
      <c r="O654" s="3">
        <f t="shared" si="116"/>
        <v>0.16076805267108107</v>
      </c>
      <c r="P654" s="3">
        <f t="shared" si="117"/>
        <v>0.54010566820516737</v>
      </c>
      <c r="Q654" s="3">
        <f t="shared" si="118"/>
        <v>-0.61599047670559415</v>
      </c>
      <c r="R654" s="3">
        <f t="shared" si="120"/>
        <v>0.45989433179483263</v>
      </c>
    </row>
    <row r="655" spans="1:18" x14ac:dyDescent="0.3">
      <c r="A655" s="2">
        <v>651</v>
      </c>
      <c r="B655" s="2">
        <v>1</v>
      </c>
      <c r="C655" s="2">
        <v>18</v>
      </c>
      <c r="D655" s="2">
        <f t="shared" si="119"/>
        <v>324</v>
      </c>
      <c r="E655" s="2">
        <v>63.992199999999997</v>
      </c>
      <c r="F655" s="2">
        <v>171.94890000000001</v>
      </c>
      <c r="G655" s="2">
        <v>0.51961199999999996</v>
      </c>
      <c r="H655" s="2">
        <v>6</v>
      </c>
      <c r="I655" s="3">
        <f t="shared" si="110"/>
        <v>-1.5647611225041334</v>
      </c>
      <c r="J655" s="3">
        <f t="shared" si="111"/>
        <v>-1.3846556421919931</v>
      </c>
      <c r="K655" s="3">
        <f t="shared" si="112"/>
        <v>-1.0919401489438954</v>
      </c>
      <c r="L655" s="3">
        <f t="shared" si="113"/>
        <v>-0.78896864683066337</v>
      </c>
      <c r="M655" s="3">
        <f t="shared" si="114"/>
        <v>0.10159176074287021</v>
      </c>
      <c r="N655" s="3">
        <f t="shared" si="115"/>
        <v>1.4896252544247224</v>
      </c>
      <c r="O655" s="3">
        <f t="shared" si="116"/>
        <v>0.1527383765647288</v>
      </c>
      <c r="P655" s="3">
        <f t="shared" si="117"/>
        <v>0.53811053284385957</v>
      </c>
      <c r="Q655" s="3">
        <f t="shared" si="118"/>
        <v>-0.61969128853995903</v>
      </c>
      <c r="R655" s="3">
        <f t="shared" si="120"/>
        <v>0.46188946715614043</v>
      </c>
    </row>
    <row r="656" spans="1:18" x14ac:dyDescent="0.3">
      <c r="A656" s="2">
        <v>652</v>
      </c>
      <c r="B656" s="2">
        <v>0</v>
      </c>
      <c r="C656" s="2">
        <v>38</v>
      </c>
      <c r="D656" s="2">
        <f t="shared" si="119"/>
        <v>1444</v>
      </c>
      <c r="E656" s="2">
        <v>67.887</v>
      </c>
      <c r="F656" s="2">
        <v>189.5788</v>
      </c>
      <c r="G656" s="2">
        <v>0.99652600000000002</v>
      </c>
      <c r="H656" s="2">
        <v>4</v>
      </c>
      <c r="I656" s="3">
        <f t="shared" si="110"/>
        <v>1.4941013982741542</v>
      </c>
      <c r="J656" s="3">
        <f t="shared" si="111"/>
        <v>1.6225643324346428</v>
      </c>
      <c r="K656" s="3">
        <f t="shared" si="112"/>
        <v>-0.69823259816394045</v>
      </c>
      <c r="L656" s="3">
        <f t="shared" si="113"/>
        <v>0.99382460502311243</v>
      </c>
      <c r="M656" s="3">
        <f t="shared" si="114"/>
        <v>1.768048949668084</v>
      </c>
      <c r="N656" s="3">
        <f t="shared" si="115"/>
        <v>0.31391471423157125</v>
      </c>
      <c r="O656" s="3">
        <f t="shared" si="116"/>
        <v>-0.12103688640879171</v>
      </c>
      <c r="P656" s="3">
        <f t="shared" si="117"/>
        <v>0.46977766564368872</v>
      </c>
      <c r="Q656" s="3">
        <f t="shared" si="118"/>
        <v>-0.63445886161549214</v>
      </c>
      <c r="R656" s="3">
        <f t="shared" si="120"/>
        <v>-0.46977766564368872</v>
      </c>
    </row>
    <row r="657" spans="1:18" x14ac:dyDescent="0.3">
      <c r="A657" s="2">
        <v>653</v>
      </c>
      <c r="B657" s="2">
        <v>0</v>
      </c>
      <c r="C657" s="2">
        <v>37</v>
      </c>
      <c r="D657" s="2">
        <f t="shared" si="119"/>
        <v>1369</v>
      </c>
      <c r="E657" s="2">
        <v>69.134399999999999</v>
      </c>
      <c r="F657" s="2">
        <v>187.7927</v>
      </c>
      <c r="G657" s="2">
        <v>0.135217</v>
      </c>
      <c r="H657" s="2">
        <v>6</v>
      </c>
      <c r="I657" s="3">
        <f t="shared" si="110"/>
        <v>1.34115827223524</v>
      </c>
      <c r="J657" s="3">
        <f t="shared" si="111"/>
        <v>1.4211879948480377</v>
      </c>
      <c r="K657" s="3">
        <f t="shared" si="112"/>
        <v>-0.57213862701191354</v>
      </c>
      <c r="L657" s="3">
        <f t="shared" si="113"/>
        <v>0.81320832091849249</v>
      </c>
      <c r="M657" s="3">
        <f t="shared" si="114"/>
        <v>-1.24158082621601</v>
      </c>
      <c r="N657" s="3">
        <f t="shared" si="115"/>
        <v>1.4896252544247224</v>
      </c>
      <c r="O657" s="3">
        <f t="shared" si="116"/>
        <v>-1.1309717834409202E-2</v>
      </c>
      <c r="P657" s="3">
        <f t="shared" si="117"/>
        <v>0.49717260067898755</v>
      </c>
      <c r="Q657" s="3">
        <f t="shared" si="118"/>
        <v>-0.68750831027221537</v>
      </c>
      <c r="R657" s="3">
        <f t="shared" si="120"/>
        <v>-0.49717260067898755</v>
      </c>
    </row>
    <row r="658" spans="1:18" x14ac:dyDescent="0.3">
      <c r="A658" s="2">
        <v>654</v>
      </c>
      <c r="B658" s="2">
        <v>0</v>
      </c>
      <c r="C658" s="2">
        <v>30</v>
      </c>
      <c r="D658" s="2">
        <f t="shared" si="119"/>
        <v>900</v>
      </c>
      <c r="E658" s="2">
        <v>73.024600000000007</v>
      </c>
      <c r="F658" s="2">
        <v>177.0942</v>
      </c>
      <c r="G658" s="2">
        <v>0.67545599999999995</v>
      </c>
      <c r="H658" s="2">
        <v>4</v>
      </c>
      <c r="I658" s="3">
        <f t="shared" si="110"/>
        <v>0.27055638996283926</v>
      </c>
      <c r="J658" s="3">
        <f t="shared" si="111"/>
        <v>0.16191463047313392</v>
      </c>
      <c r="K658" s="3">
        <f t="shared" si="112"/>
        <v>-0.17889606923123624</v>
      </c>
      <c r="L658" s="3">
        <f t="shared" si="113"/>
        <v>-0.26865905240510102</v>
      </c>
      <c r="M658" s="3">
        <f t="shared" si="114"/>
        <v>0.64614980297031777</v>
      </c>
      <c r="N658" s="3">
        <f t="shared" si="115"/>
        <v>0.31391471423157125</v>
      </c>
      <c r="O658" s="3">
        <f t="shared" si="116"/>
        <v>-5.6006566665549221E-2</v>
      </c>
      <c r="P658" s="3">
        <f t="shared" si="117"/>
        <v>0.48600201713983032</v>
      </c>
      <c r="Q658" s="3">
        <f t="shared" si="118"/>
        <v>-0.66553593793122934</v>
      </c>
      <c r="R658" s="3">
        <f t="shared" si="120"/>
        <v>-0.48600201713983032</v>
      </c>
    </row>
    <row r="659" spans="1:18" x14ac:dyDescent="0.3">
      <c r="A659" s="2">
        <v>655</v>
      </c>
      <c r="B659" s="2">
        <v>1</v>
      </c>
      <c r="C659" s="2">
        <v>33</v>
      </c>
      <c r="D659" s="2">
        <f t="shared" si="119"/>
        <v>1089</v>
      </c>
      <c r="E659" s="2">
        <v>67.409599999999998</v>
      </c>
      <c r="F659" s="2">
        <v>194.1105</v>
      </c>
      <c r="G659" s="2">
        <v>0.39600099999999999</v>
      </c>
      <c r="H659" s="2">
        <v>3</v>
      </c>
      <c r="I659" s="3">
        <f t="shared" si="110"/>
        <v>0.72938576807958244</v>
      </c>
      <c r="J659" s="3">
        <f t="shared" si="111"/>
        <v>0.66938300119137872</v>
      </c>
      <c r="K659" s="3">
        <f t="shared" si="112"/>
        <v>-0.74649078465422281</v>
      </c>
      <c r="L659" s="3">
        <f t="shared" si="113"/>
        <v>1.4520849570061503</v>
      </c>
      <c r="M659" s="3">
        <f t="shared" si="114"/>
        <v>-0.33033609119738422</v>
      </c>
      <c r="N659" s="3">
        <f t="shared" si="115"/>
        <v>-0.27394055586500432</v>
      </c>
      <c r="O659" s="3">
        <f t="shared" si="116"/>
        <v>-2.4288044341707046E-2</v>
      </c>
      <c r="P659" s="3">
        <f t="shared" si="117"/>
        <v>0.49392828739151434</v>
      </c>
      <c r="Q659" s="3">
        <f t="shared" si="118"/>
        <v>-0.70536493955565094</v>
      </c>
      <c r="R659" s="3">
        <f t="shared" si="120"/>
        <v>0.50607171260848571</v>
      </c>
    </row>
    <row r="660" spans="1:18" x14ac:dyDescent="0.3">
      <c r="A660" s="2">
        <v>656</v>
      </c>
      <c r="B660" s="2">
        <v>1</v>
      </c>
      <c r="C660" s="2">
        <v>30</v>
      </c>
      <c r="D660" s="2">
        <f t="shared" si="119"/>
        <v>900</v>
      </c>
      <c r="E660" s="2">
        <v>75.334599999999995</v>
      </c>
      <c r="F660" s="2">
        <v>175.94589999999999</v>
      </c>
      <c r="G660" s="2">
        <v>0.13300999999999999</v>
      </c>
      <c r="H660" s="2">
        <v>6</v>
      </c>
      <c r="I660" s="3">
        <f t="shared" si="110"/>
        <v>0.27055638996283926</v>
      </c>
      <c r="J660" s="3">
        <f t="shared" si="111"/>
        <v>0.16191463047313392</v>
      </c>
      <c r="K660" s="3">
        <f t="shared" si="112"/>
        <v>5.461128475399795E-2</v>
      </c>
      <c r="L660" s="3">
        <f t="shared" si="113"/>
        <v>-0.3847789107766007</v>
      </c>
      <c r="M660" s="3">
        <f t="shared" si="114"/>
        <v>-1.2492926380226623</v>
      </c>
      <c r="N660" s="3">
        <f t="shared" si="115"/>
        <v>1.4896252544247224</v>
      </c>
      <c r="O660" s="3">
        <f t="shared" si="116"/>
        <v>2.0772850524100436E-2</v>
      </c>
      <c r="P660" s="3">
        <f t="shared" si="117"/>
        <v>0.50519302589491366</v>
      </c>
      <c r="Q660" s="3">
        <f t="shared" si="118"/>
        <v>-0.68281469324298294</v>
      </c>
      <c r="R660" s="3">
        <f t="shared" si="120"/>
        <v>0.49480697410508634</v>
      </c>
    </row>
    <row r="661" spans="1:18" x14ac:dyDescent="0.3">
      <c r="A661" s="2">
        <v>657</v>
      </c>
      <c r="B661" s="2">
        <v>1</v>
      </c>
      <c r="C661" s="2">
        <v>31</v>
      </c>
      <c r="D661" s="2">
        <f t="shared" si="119"/>
        <v>961</v>
      </c>
      <c r="E661" s="2">
        <v>68.781800000000004</v>
      </c>
      <c r="F661" s="2">
        <v>176.39109999999999</v>
      </c>
      <c r="G661" s="2">
        <v>0.15873699999999999</v>
      </c>
      <c r="H661" s="2">
        <v>1</v>
      </c>
      <c r="I661" s="3">
        <f t="shared" si="110"/>
        <v>0.42349951600175367</v>
      </c>
      <c r="J661" s="3">
        <f t="shared" si="111"/>
        <v>0.32570071837690606</v>
      </c>
      <c r="K661" s="3">
        <f t="shared" si="112"/>
        <v>-0.6077813512609147</v>
      </c>
      <c r="L661" s="3">
        <f t="shared" si="113"/>
        <v>-0.33975882809176977</v>
      </c>
      <c r="M661" s="3">
        <f t="shared" si="114"/>
        <v>-1.1593960442982616</v>
      </c>
      <c r="N661" s="3">
        <f t="shared" si="115"/>
        <v>-1.4496510960581555</v>
      </c>
      <c r="O661" s="3">
        <f t="shared" si="116"/>
        <v>6.5469280993927306E-3</v>
      </c>
      <c r="P661" s="3">
        <f t="shared" si="117"/>
        <v>0.5016367261787027</v>
      </c>
      <c r="Q661" s="3">
        <f t="shared" si="118"/>
        <v>-0.68987907428412276</v>
      </c>
      <c r="R661" s="3">
        <f t="shared" si="120"/>
        <v>0.4983632738212973</v>
      </c>
    </row>
    <row r="662" spans="1:18" x14ac:dyDescent="0.3">
      <c r="A662" s="2">
        <v>658</v>
      </c>
      <c r="B662" s="2">
        <v>0</v>
      </c>
      <c r="C662" s="2">
        <v>20</v>
      </c>
      <c r="D662" s="2">
        <f t="shared" si="119"/>
        <v>400</v>
      </c>
      <c r="E662" s="2">
        <v>82.0137</v>
      </c>
      <c r="F662" s="2">
        <v>145.28569999999999</v>
      </c>
      <c r="G662" s="2">
        <v>0.94927300000000003</v>
      </c>
      <c r="H662" s="2">
        <v>6</v>
      </c>
      <c r="I662" s="3">
        <f t="shared" si="110"/>
        <v>-1.2588748704263044</v>
      </c>
      <c r="J662" s="3">
        <f t="shared" si="111"/>
        <v>-1.1805942867708998</v>
      </c>
      <c r="K662" s="3">
        <f t="shared" si="112"/>
        <v>0.72977101116213083</v>
      </c>
      <c r="L662" s="3">
        <f t="shared" si="113"/>
        <v>-3.4852387920287442</v>
      </c>
      <c r="M662" s="3">
        <f t="shared" si="114"/>
        <v>1.6029351103840974</v>
      </c>
      <c r="N662" s="3">
        <f t="shared" si="115"/>
        <v>1.4896252544247224</v>
      </c>
      <c r="O662" s="3">
        <f t="shared" si="116"/>
        <v>7.8956515777868788E-2</v>
      </c>
      <c r="P662" s="3">
        <f t="shared" si="117"/>
        <v>0.51972888063974421</v>
      </c>
      <c r="Q662" s="3">
        <f t="shared" si="118"/>
        <v>-0.73340450253722034</v>
      </c>
      <c r="R662" s="3">
        <f t="shared" si="120"/>
        <v>-0.51972888063974421</v>
      </c>
    </row>
    <row r="663" spans="1:18" x14ac:dyDescent="0.3">
      <c r="A663" s="2">
        <v>659</v>
      </c>
      <c r="B663" s="2">
        <v>1</v>
      </c>
      <c r="C663" s="2">
        <v>23</v>
      </c>
      <c r="D663" s="2">
        <f t="shared" si="119"/>
        <v>529</v>
      </c>
      <c r="E663" s="2">
        <v>85.310599999999994</v>
      </c>
      <c r="F663" s="2">
        <v>184.09030000000001</v>
      </c>
      <c r="G663" s="2">
        <v>0.87960099999999997</v>
      </c>
      <c r="H663" s="2">
        <v>2</v>
      </c>
      <c r="I663" s="3">
        <f t="shared" si="110"/>
        <v>-0.80004549230956135</v>
      </c>
      <c r="J663" s="3">
        <f t="shared" si="111"/>
        <v>-0.83422698612193913</v>
      </c>
      <c r="K663" s="3">
        <f t="shared" si="112"/>
        <v>1.0630395805794128</v>
      </c>
      <c r="L663" s="3">
        <f t="shared" si="113"/>
        <v>0.43880950211274816</v>
      </c>
      <c r="M663" s="3">
        <f t="shared" si="114"/>
        <v>1.359483659458359</v>
      </c>
      <c r="N663" s="3">
        <f t="shared" si="115"/>
        <v>-0.86179582596158</v>
      </c>
      <c r="O663" s="3">
        <f t="shared" si="116"/>
        <v>0.15047493827108768</v>
      </c>
      <c r="P663" s="3">
        <f t="shared" si="117"/>
        <v>0.53754791242509314</v>
      </c>
      <c r="Q663" s="3">
        <f t="shared" si="118"/>
        <v>-0.62073738355747687</v>
      </c>
      <c r="R663" s="3">
        <f t="shared" si="120"/>
        <v>0.46245208757490686</v>
      </c>
    </row>
    <row r="664" spans="1:18" x14ac:dyDescent="0.3">
      <c r="A664" s="2">
        <v>660</v>
      </c>
      <c r="B664" s="2">
        <v>0</v>
      </c>
      <c r="C664" s="2">
        <v>35</v>
      </c>
      <c r="D664" s="2">
        <f t="shared" si="119"/>
        <v>1225</v>
      </c>
      <c r="E664" s="2">
        <v>76.085400000000007</v>
      </c>
      <c r="F664" s="2">
        <v>166.7449</v>
      </c>
      <c r="G664" s="2">
        <v>0.90704200000000001</v>
      </c>
      <c r="H664" s="2">
        <v>1</v>
      </c>
      <c r="I664" s="3">
        <f t="shared" si="110"/>
        <v>1.0352720201574113</v>
      </c>
      <c r="J664" s="3">
        <f t="shared" si="111"/>
        <v>1.034545426681756</v>
      </c>
      <c r="K664" s="3">
        <f t="shared" si="112"/>
        <v>0.13050622907093198</v>
      </c>
      <c r="L664" s="3">
        <f t="shared" si="113"/>
        <v>-1.3152141775850674</v>
      </c>
      <c r="M664" s="3">
        <f t="shared" si="114"/>
        <v>1.4553693992799974</v>
      </c>
      <c r="N664" s="3">
        <f t="shared" si="115"/>
        <v>-1.4496510960581555</v>
      </c>
      <c r="O664" s="3">
        <f t="shared" si="116"/>
        <v>-9.3574575721183925E-2</v>
      </c>
      <c r="P664" s="3">
        <f t="shared" si="117"/>
        <v>0.47662341109060319</v>
      </c>
      <c r="Q664" s="3">
        <f t="shared" si="118"/>
        <v>-0.64745401875654351</v>
      </c>
      <c r="R664" s="3">
        <f t="shared" si="120"/>
        <v>-0.47662341109060319</v>
      </c>
    </row>
    <row r="665" spans="1:18" x14ac:dyDescent="0.3">
      <c r="A665" s="2">
        <v>661</v>
      </c>
      <c r="B665" s="2">
        <v>0</v>
      </c>
      <c r="C665" s="2">
        <v>36</v>
      </c>
      <c r="D665" s="2">
        <f t="shared" si="119"/>
        <v>1296</v>
      </c>
      <c r="E665" s="2">
        <v>79.626300000000001</v>
      </c>
      <c r="F665" s="2">
        <v>174.49279999999999</v>
      </c>
      <c r="G665" s="2">
        <v>0.991533</v>
      </c>
      <c r="H665" s="2">
        <v>2</v>
      </c>
      <c r="I665" s="3">
        <f t="shared" si="110"/>
        <v>1.1882151461963255</v>
      </c>
      <c r="J665" s="3">
        <f t="shared" si="111"/>
        <v>1.2251816929304087</v>
      </c>
      <c r="K665" s="3">
        <f t="shared" si="112"/>
        <v>0.48843964453687072</v>
      </c>
      <c r="L665" s="3">
        <f t="shared" si="113"/>
        <v>-0.53172114381642133</v>
      </c>
      <c r="M665" s="3">
        <f t="shared" si="114"/>
        <v>1.7506021547652217</v>
      </c>
      <c r="N665" s="3">
        <f t="shared" si="115"/>
        <v>-0.86179582596158</v>
      </c>
      <c r="O665" s="3">
        <f t="shared" si="116"/>
        <v>-7.1075813520973419E-2</v>
      </c>
      <c r="P665" s="3">
        <f t="shared" si="117"/>
        <v>0.48223852323344368</v>
      </c>
      <c r="Q665" s="3">
        <f t="shared" si="118"/>
        <v>-0.65824061233395159</v>
      </c>
      <c r="R665" s="3">
        <f t="shared" si="120"/>
        <v>-0.48223852323344368</v>
      </c>
    </row>
    <row r="666" spans="1:18" x14ac:dyDescent="0.3">
      <c r="A666" s="2">
        <v>662</v>
      </c>
      <c r="B666" s="2">
        <v>0</v>
      </c>
      <c r="C666" s="2">
        <v>22</v>
      </c>
      <c r="D666" s="2">
        <f t="shared" si="119"/>
        <v>484</v>
      </c>
      <c r="E666" s="2">
        <v>96.178600000000003</v>
      </c>
      <c r="F666" s="2">
        <v>169.73779999999999</v>
      </c>
      <c r="G666" s="2">
        <v>0.208315</v>
      </c>
      <c r="H666" s="2">
        <v>4</v>
      </c>
      <c r="I666" s="3">
        <f t="shared" si="110"/>
        <v>-0.9529886183484757</v>
      </c>
      <c r="J666" s="3">
        <f t="shared" si="111"/>
        <v>-0.9550527886739022</v>
      </c>
      <c r="K666" s="3">
        <f t="shared" si="112"/>
        <v>2.1616360840909019</v>
      </c>
      <c r="L666" s="3">
        <f t="shared" si="113"/>
        <v>-1.0125623234354038</v>
      </c>
      <c r="M666" s="3">
        <f t="shared" si="114"/>
        <v>-0.986158071597661</v>
      </c>
      <c r="N666" s="3">
        <f t="shared" si="115"/>
        <v>0.31391471423157125</v>
      </c>
      <c r="O666" s="3">
        <f t="shared" si="116"/>
        <v>0.29816768388934362</v>
      </c>
      <c r="P666" s="3">
        <f t="shared" si="117"/>
        <v>0.57399453092783215</v>
      </c>
      <c r="Q666" s="3">
        <f t="shared" si="118"/>
        <v>-0.85330309459759845</v>
      </c>
      <c r="R666" s="3">
        <f t="shared" si="120"/>
        <v>-0.57399453092783215</v>
      </c>
    </row>
    <row r="667" spans="1:18" x14ac:dyDescent="0.3">
      <c r="A667" s="2">
        <v>663</v>
      </c>
      <c r="B667" s="2">
        <v>0</v>
      </c>
      <c r="C667" s="2">
        <v>32</v>
      </c>
      <c r="D667" s="2">
        <f t="shared" si="119"/>
        <v>1024</v>
      </c>
      <c r="E667" s="2">
        <v>63.274000000000001</v>
      </c>
      <c r="F667" s="2">
        <v>176.33770000000001</v>
      </c>
      <c r="G667" s="2">
        <v>0.355439</v>
      </c>
      <c r="H667" s="2">
        <v>1</v>
      </c>
      <c r="I667" s="3">
        <f t="shared" si="110"/>
        <v>0.57644264204066809</v>
      </c>
      <c r="J667" s="3">
        <f t="shared" si="111"/>
        <v>0.49485684194965435</v>
      </c>
      <c r="K667" s="3">
        <f t="shared" si="112"/>
        <v>-1.1645397080920317</v>
      </c>
      <c r="L667" s="3">
        <f t="shared" si="113"/>
        <v>-0.34515881105531238</v>
      </c>
      <c r="M667" s="3">
        <f t="shared" si="114"/>
        <v>-0.47206989749618122</v>
      </c>
      <c r="N667" s="3">
        <f t="shared" si="115"/>
        <v>-1.4496510960581555</v>
      </c>
      <c r="O667" s="3">
        <f t="shared" si="116"/>
        <v>-6.6174828460916352E-2</v>
      </c>
      <c r="P667" s="3">
        <f t="shared" si="117"/>
        <v>0.48346232746541712</v>
      </c>
      <c r="Q667" s="3">
        <f t="shared" si="118"/>
        <v>-0.66060705497081174</v>
      </c>
      <c r="R667" s="3">
        <f t="shared" si="120"/>
        <v>-0.48346232746541712</v>
      </c>
    </row>
    <row r="668" spans="1:18" x14ac:dyDescent="0.3">
      <c r="A668" s="2">
        <v>664</v>
      </c>
      <c r="B668" s="2">
        <v>0</v>
      </c>
      <c r="C668" s="2">
        <v>19</v>
      </c>
      <c r="D668" s="2">
        <f t="shared" si="119"/>
        <v>361</v>
      </c>
      <c r="E668" s="2">
        <v>62.665300000000002</v>
      </c>
      <c r="F668" s="2">
        <v>184.43879999999999</v>
      </c>
      <c r="G668" s="2">
        <v>0.66921900000000001</v>
      </c>
      <c r="H668" s="2">
        <v>4</v>
      </c>
      <c r="I668" s="3">
        <f t="shared" si="110"/>
        <v>-1.4118179964652189</v>
      </c>
      <c r="J668" s="3">
        <f t="shared" si="111"/>
        <v>-1.2853099823159346</v>
      </c>
      <c r="K668" s="3">
        <f t="shared" si="112"/>
        <v>-1.2260704121486605</v>
      </c>
      <c r="L668" s="3">
        <f t="shared" si="113"/>
        <v>0.4740509639628433</v>
      </c>
      <c r="M668" s="3">
        <f t="shared" si="114"/>
        <v>0.62435615990820081</v>
      </c>
      <c r="N668" s="3">
        <f t="shared" si="115"/>
        <v>0.31391471423157125</v>
      </c>
      <c r="O668" s="3">
        <f t="shared" si="116"/>
        <v>0.13288014367048223</v>
      </c>
      <c r="P668" s="3">
        <f t="shared" si="117"/>
        <v>0.53317124119175652</v>
      </c>
      <c r="Q668" s="3">
        <f t="shared" si="118"/>
        <v>-0.76179277205219631</v>
      </c>
      <c r="R668" s="3">
        <f t="shared" si="120"/>
        <v>-0.53317124119175652</v>
      </c>
    </row>
    <row r="669" spans="1:18" x14ac:dyDescent="0.3">
      <c r="A669" s="2">
        <v>665</v>
      </c>
      <c r="B669" s="2">
        <v>0</v>
      </c>
      <c r="C669" s="2">
        <v>27</v>
      </c>
      <c r="D669" s="2">
        <f t="shared" si="119"/>
        <v>729</v>
      </c>
      <c r="E669" s="2">
        <v>81.95</v>
      </c>
      <c r="F669" s="2">
        <v>180.1114</v>
      </c>
      <c r="G669" s="2">
        <v>0.48380299999999998</v>
      </c>
      <c r="H669" s="2">
        <v>5</v>
      </c>
      <c r="I669" s="3">
        <f t="shared" si="110"/>
        <v>-0.18827298815390386</v>
      </c>
      <c r="J669" s="3">
        <f t="shared" si="111"/>
        <v>-0.29722341922432566</v>
      </c>
      <c r="K669" s="3">
        <f t="shared" si="112"/>
        <v>0.72333186897647772</v>
      </c>
      <c r="L669" s="3">
        <f t="shared" si="113"/>
        <v>3.6450097362805731E-2</v>
      </c>
      <c r="M669" s="3">
        <f t="shared" si="114"/>
        <v>-2.3533870876715136E-2</v>
      </c>
      <c r="N669" s="3">
        <f t="shared" si="115"/>
        <v>0.90176998432814681</v>
      </c>
      <c r="O669" s="3">
        <f t="shared" si="116"/>
        <v>7.026233946186683E-2</v>
      </c>
      <c r="P669" s="3">
        <f t="shared" si="117"/>
        <v>0.51755836195498373</v>
      </c>
      <c r="Q669" s="3">
        <f t="shared" si="118"/>
        <v>-0.72889532293869042</v>
      </c>
      <c r="R669" s="3">
        <f t="shared" si="120"/>
        <v>-0.51755836195498373</v>
      </c>
    </row>
    <row r="670" spans="1:18" x14ac:dyDescent="0.3">
      <c r="A670" s="2">
        <v>666</v>
      </c>
      <c r="B670" s="2">
        <v>1</v>
      </c>
      <c r="C670" s="2">
        <v>35</v>
      </c>
      <c r="D670" s="2">
        <f t="shared" si="119"/>
        <v>1225</v>
      </c>
      <c r="E670" s="2">
        <v>94.465400000000002</v>
      </c>
      <c r="F670" s="2">
        <v>187.09639999999999</v>
      </c>
      <c r="G670" s="2">
        <v>0.41838999999999998</v>
      </c>
      <c r="H670" s="2">
        <v>4</v>
      </c>
      <c r="I670" s="3">
        <f t="shared" si="110"/>
        <v>1.0352720201574113</v>
      </c>
      <c r="J670" s="3">
        <f t="shared" si="111"/>
        <v>1.034545426681756</v>
      </c>
      <c r="K670" s="3">
        <f t="shared" si="112"/>
        <v>1.9884565174902504</v>
      </c>
      <c r="L670" s="3">
        <f t="shared" si="113"/>
        <v>0.74279618351182541</v>
      </c>
      <c r="M670" s="3">
        <f t="shared" si="114"/>
        <v>-0.25210330708358886</v>
      </c>
      <c r="N670" s="3">
        <f t="shared" si="115"/>
        <v>0.31391471423157125</v>
      </c>
      <c r="O670" s="3">
        <f t="shared" si="116"/>
        <v>0.12390835525182985</v>
      </c>
      <c r="P670" s="3">
        <f t="shared" si="117"/>
        <v>0.53093751624092234</v>
      </c>
      <c r="Q670" s="3">
        <f t="shared" si="118"/>
        <v>-0.63311093652674477</v>
      </c>
      <c r="R670" s="3">
        <f t="shared" si="120"/>
        <v>0.46906248375907766</v>
      </c>
    </row>
    <row r="671" spans="1:18" x14ac:dyDescent="0.3">
      <c r="A671" s="2">
        <v>667</v>
      </c>
      <c r="B671" s="2">
        <v>0</v>
      </c>
      <c r="C671" s="2">
        <v>30</v>
      </c>
      <c r="D671" s="2">
        <f t="shared" si="119"/>
        <v>900</v>
      </c>
      <c r="E671" s="2">
        <v>72.394999999999996</v>
      </c>
      <c r="F671" s="2">
        <v>192.65629999999999</v>
      </c>
      <c r="G671" s="2">
        <v>0.35781099999999999</v>
      </c>
      <c r="H671" s="2">
        <v>4</v>
      </c>
      <c r="I671" s="3">
        <f t="shared" si="110"/>
        <v>0.27055638996283926</v>
      </c>
      <c r="J671" s="3">
        <f t="shared" si="111"/>
        <v>0.16191463047313392</v>
      </c>
      <c r="K671" s="3">
        <f t="shared" si="112"/>
        <v>-0.24253945887154216</v>
      </c>
      <c r="L671" s="3">
        <f t="shared" si="113"/>
        <v>1.3050314883622109</v>
      </c>
      <c r="M671" s="3">
        <f t="shared" si="114"/>
        <v>-0.4637815342857689</v>
      </c>
      <c r="N671" s="3">
        <f t="shared" si="115"/>
        <v>0.31391471423157125</v>
      </c>
      <c r="O671" s="3">
        <f t="shared" si="116"/>
        <v>2.3469424350255973E-2</v>
      </c>
      <c r="P671" s="3">
        <f t="shared" si="117"/>
        <v>0.50586708678396697</v>
      </c>
      <c r="Q671" s="3">
        <f t="shared" si="118"/>
        <v>-0.70495074288986082</v>
      </c>
      <c r="R671" s="3">
        <f t="shared" si="120"/>
        <v>-0.50586708678396697</v>
      </c>
    </row>
    <row r="672" spans="1:18" x14ac:dyDescent="0.3">
      <c r="A672" s="2">
        <v>668</v>
      </c>
      <c r="B672" s="2">
        <v>0</v>
      </c>
      <c r="C672" s="2">
        <v>22</v>
      </c>
      <c r="D672" s="2">
        <f t="shared" si="119"/>
        <v>484</v>
      </c>
      <c r="E672" s="2">
        <v>92.268299999999996</v>
      </c>
      <c r="F672" s="2">
        <v>176.31200000000001</v>
      </c>
      <c r="G672" s="2">
        <v>0.593781</v>
      </c>
      <c r="H672" s="2">
        <v>2</v>
      </c>
      <c r="I672" s="3">
        <f t="shared" si="110"/>
        <v>-0.9529886183484757</v>
      </c>
      <c r="J672" s="3">
        <f t="shared" si="111"/>
        <v>-0.9550527886739022</v>
      </c>
      <c r="K672" s="3">
        <f t="shared" si="112"/>
        <v>1.7663617090742496</v>
      </c>
      <c r="L672" s="3">
        <f t="shared" si="113"/>
        <v>-0.34775767926061379</v>
      </c>
      <c r="M672" s="3">
        <f t="shared" si="114"/>
        <v>0.36075685810925956</v>
      </c>
      <c r="N672" s="3">
        <f t="shared" si="115"/>
        <v>-0.86179582596158</v>
      </c>
      <c r="O672" s="3">
        <f t="shared" si="116"/>
        <v>0.24681336749993268</v>
      </c>
      <c r="P672" s="3">
        <f t="shared" si="117"/>
        <v>0.56139200724763094</v>
      </c>
      <c r="Q672" s="3">
        <f t="shared" si="118"/>
        <v>-0.82414921983477729</v>
      </c>
      <c r="R672" s="3">
        <f t="shared" si="120"/>
        <v>-0.56139200724763094</v>
      </c>
    </row>
    <row r="673" spans="1:18" x14ac:dyDescent="0.3">
      <c r="A673" s="2">
        <v>669</v>
      </c>
      <c r="B673" s="2">
        <v>1</v>
      </c>
      <c r="C673" s="2">
        <v>18</v>
      </c>
      <c r="D673" s="2">
        <f t="shared" si="119"/>
        <v>324</v>
      </c>
      <c r="E673" s="2">
        <v>75.964299999999994</v>
      </c>
      <c r="F673" s="2">
        <v>175.21430000000001</v>
      </c>
      <c r="G673" s="2">
        <v>0.57559300000000002</v>
      </c>
      <c r="H673" s="2">
        <v>6</v>
      </c>
      <c r="I673" s="3">
        <f t="shared" si="110"/>
        <v>-1.5647611225041334</v>
      </c>
      <c r="J673" s="3">
        <f t="shared" si="111"/>
        <v>-1.3846556421919931</v>
      </c>
      <c r="K673" s="3">
        <f t="shared" si="112"/>
        <v>0.11826478293776534</v>
      </c>
      <c r="L673" s="3">
        <f t="shared" si="113"/>
        <v>-0.45876069984268719</v>
      </c>
      <c r="M673" s="3">
        <f t="shared" si="114"/>
        <v>0.29720342216027978</v>
      </c>
      <c r="N673" s="3">
        <f t="shared" si="115"/>
        <v>1.4896252544247224</v>
      </c>
      <c r="O673" s="3">
        <f t="shared" si="116"/>
        <v>0.23141818422059243</v>
      </c>
      <c r="P673" s="3">
        <f t="shared" si="117"/>
        <v>0.55759772435078603</v>
      </c>
      <c r="Q673" s="3">
        <f t="shared" si="118"/>
        <v>-0.58411750069410417</v>
      </c>
      <c r="R673" s="3">
        <f t="shared" si="120"/>
        <v>0.44240227564921397</v>
      </c>
    </row>
    <row r="674" spans="1:18" x14ac:dyDescent="0.3">
      <c r="A674" s="2">
        <v>670</v>
      </c>
      <c r="B674" s="2">
        <v>0</v>
      </c>
      <c r="C674" s="2">
        <v>39</v>
      </c>
      <c r="D674" s="2">
        <f t="shared" si="119"/>
        <v>1521</v>
      </c>
      <c r="E674" s="2">
        <v>68.191100000000006</v>
      </c>
      <c r="F674" s="2">
        <v>189.57730000000001</v>
      </c>
      <c r="G674" s="2">
        <v>0.16145799999999999</v>
      </c>
      <c r="H674" s="2">
        <v>5</v>
      </c>
      <c r="I674" s="3">
        <f t="shared" si="110"/>
        <v>1.6470445243130687</v>
      </c>
      <c r="J674" s="3">
        <f t="shared" si="111"/>
        <v>1.829310705690224</v>
      </c>
      <c r="K674" s="3">
        <f t="shared" si="112"/>
        <v>-0.66749251749428196</v>
      </c>
      <c r="L674" s="3">
        <f t="shared" si="113"/>
        <v>0.9936729201084068</v>
      </c>
      <c r="M674" s="3">
        <f t="shared" si="114"/>
        <v>-1.1498881875126241</v>
      </c>
      <c r="N674" s="3">
        <f t="shared" si="115"/>
        <v>0.90176998432814681</v>
      </c>
      <c r="O674" s="3">
        <f t="shared" si="116"/>
        <v>4.7856751064627792E-3</v>
      </c>
      <c r="P674" s="3">
        <f t="shared" si="117"/>
        <v>0.50119641649318725</v>
      </c>
      <c r="Q674" s="3">
        <f t="shared" si="118"/>
        <v>-0.69554288094622274</v>
      </c>
      <c r="R674" s="3">
        <f t="shared" si="120"/>
        <v>-0.50119641649318725</v>
      </c>
    </row>
    <row r="675" spans="1:18" x14ac:dyDescent="0.3">
      <c r="A675" s="2">
        <v>671</v>
      </c>
      <c r="B675" s="2">
        <v>1</v>
      </c>
      <c r="C675" s="2">
        <v>18</v>
      </c>
      <c r="D675" s="2">
        <f t="shared" si="119"/>
        <v>324</v>
      </c>
      <c r="E675" s="2">
        <v>65.093100000000007</v>
      </c>
      <c r="F675" s="2">
        <v>190.37049999999999</v>
      </c>
      <c r="G675" s="2">
        <v>0.47173999999999999</v>
      </c>
      <c r="H675" s="2">
        <v>4</v>
      </c>
      <c r="I675" s="3">
        <f t="shared" si="110"/>
        <v>-1.5647611225041334</v>
      </c>
      <c r="J675" s="3">
        <f t="shared" si="111"/>
        <v>-1.3846556421919931</v>
      </c>
      <c r="K675" s="3">
        <f t="shared" si="112"/>
        <v>-0.98065519396452394</v>
      </c>
      <c r="L675" s="3">
        <f t="shared" si="113"/>
        <v>1.0738839030050986</v>
      </c>
      <c r="M675" s="3">
        <f t="shared" si="114"/>
        <v>-6.5685019867948002E-2</v>
      </c>
      <c r="N675" s="3">
        <f t="shared" si="115"/>
        <v>0.31391471423157125</v>
      </c>
      <c r="O675" s="3">
        <f t="shared" si="116"/>
        <v>0.2267163289571511</v>
      </c>
      <c r="P675" s="3">
        <f t="shared" si="117"/>
        <v>0.55643754687222036</v>
      </c>
      <c r="Q675" s="3">
        <f t="shared" si="118"/>
        <v>-0.58620033941197913</v>
      </c>
      <c r="R675" s="3">
        <f t="shared" si="120"/>
        <v>0.44356245312777964</v>
      </c>
    </row>
    <row r="676" spans="1:18" x14ac:dyDescent="0.3">
      <c r="A676" s="2">
        <v>672</v>
      </c>
      <c r="B676" s="2">
        <v>1</v>
      </c>
      <c r="C676" s="2">
        <v>35</v>
      </c>
      <c r="D676" s="2">
        <f t="shared" si="119"/>
        <v>1225</v>
      </c>
      <c r="E676" s="2">
        <v>81.2941</v>
      </c>
      <c r="F676" s="2">
        <v>187.4059</v>
      </c>
      <c r="G676" s="2">
        <v>0.55347199999999996</v>
      </c>
      <c r="H676" s="2">
        <v>4</v>
      </c>
      <c r="I676" s="3">
        <f t="shared" si="110"/>
        <v>1.0352720201574113</v>
      </c>
      <c r="J676" s="3">
        <f t="shared" si="111"/>
        <v>1.034545426681756</v>
      </c>
      <c r="K676" s="3">
        <f t="shared" si="112"/>
        <v>0.65702993240551821</v>
      </c>
      <c r="L676" s="3">
        <f t="shared" si="113"/>
        <v>0.77409383757956085</v>
      </c>
      <c r="M676" s="3">
        <f t="shared" si="114"/>
        <v>0.21990709729622726</v>
      </c>
      <c r="N676" s="3">
        <f t="shared" si="115"/>
        <v>0.31391471423157125</v>
      </c>
      <c r="O676" s="3">
        <f t="shared" si="116"/>
        <v>1.7286291526678651E-2</v>
      </c>
      <c r="P676" s="3">
        <f t="shared" si="117"/>
        <v>0.5043214652720035</v>
      </c>
      <c r="Q676" s="3">
        <f t="shared" si="118"/>
        <v>-0.68454138631590145</v>
      </c>
      <c r="R676" s="3">
        <f t="shared" si="120"/>
        <v>0.4956785347279965</v>
      </c>
    </row>
    <row r="677" spans="1:18" x14ac:dyDescent="0.3">
      <c r="A677" s="2">
        <v>673</v>
      </c>
      <c r="B677" s="2">
        <v>1</v>
      </c>
      <c r="C677" s="2">
        <v>32</v>
      </c>
      <c r="D677" s="2">
        <f t="shared" si="119"/>
        <v>1024</v>
      </c>
      <c r="E677" s="2">
        <v>65.850399999999993</v>
      </c>
      <c r="F677" s="2">
        <v>170.47819999999999</v>
      </c>
      <c r="G677" s="2">
        <v>0.57028699999999999</v>
      </c>
      <c r="H677" s="2">
        <v>5</v>
      </c>
      <c r="I677" s="3">
        <f t="shared" si="110"/>
        <v>0.57644264204066809</v>
      </c>
      <c r="J677" s="3">
        <f t="shared" si="111"/>
        <v>0.49485684194965435</v>
      </c>
      <c r="K677" s="3">
        <f t="shared" si="112"/>
        <v>-0.90410319432252584</v>
      </c>
      <c r="L677" s="3">
        <f t="shared" si="113"/>
        <v>-0.93769064953637293</v>
      </c>
      <c r="M677" s="3">
        <f t="shared" si="114"/>
        <v>0.27866292671574</v>
      </c>
      <c r="N677" s="3">
        <f t="shared" si="115"/>
        <v>0.90176998432814681</v>
      </c>
      <c r="O677" s="3">
        <f t="shared" si="116"/>
        <v>-0.12753096530891406</v>
      </c>
      <c r="P677" s="3">
        <f t="shared" si="117"/>
        <v>0.46816040064034076</v>
      </c>
      <c r="Q677" s="3">
        <f t="shared" si="118"/>
        <v>-0.75894430537421276</v>
      </c>
      <c r="R677" s="3">
        <f t="shared" si="120"/>
        <v>0.53183959935965919</v>
      </c>
    </row>
    <row r="678" spans="1:18" x14ac:dyDescent="0.3">
      <c r="A678" s="2">
        <v>674</v>
      </c>
      <c r="B678" s="2">
        <v>0</v>
      </c>
      <c r="C678" s="2">
        <v>34</v>
      </c>
      <c r="D678" s="2">
        <f t="shared" si="119"/>
        <v>1156</v>
      </c>
      <c r="E678" s="2">
        <v>75.812799999999996</v>
      </c>
      <c r="F678" s="2">
        <v>184.22659999999999</v>
      </c>
      <c r="G678" s="2">
        <v>0.21010699999999999</v>
      </c>
      <c r="H678" s="2">
        <v>5</v>
      </c>
      <c r="I678" s="3">
        <f t="shared" si="110"/>
        <v>0.8823288941184968</v>
      </c>
      <c r="J678" s="3">
        <f t="shared" si="111"/>
        <v>0.84927919610207925</v>
      </c>
      <c r="K678" s="3">
        <f t="shared" si="112"/>
        <v>0.10295033959198056</v>
      </c>
      <c r="L678" s="3">
        <f t="shared" si="113"/>
        <v>0.45259260469572532</v>
      </c>
      <c r="M678" s="3">
        <f t="shared" si="114"/>
        <v>-0.97989637392773732</v>
      </c>
      <c r="N678" s="3">
        <f t="shared" si="115"/>
        <v>0.90176998432814681</v>
      </c>
      <c r="O678" s="3">
        <f t="shared" si="116"/>
        <v>1.6812141190504316E-2</v>
      </c>
      <c r="P678" s="3">
        <f t="shared" si="117"/>
        <v>0.50420293630209867</v>
      </c>
      <c r="Q678" s="3">
        <f t="shared" si="118"/>
        <v>-0.70158858175053784</v>
      </c>
      <c r="R678" s="3">
        <f t="shared" si="120"/>
        <v>-0.50420293630209867</v>
      </c>
    </row>
    <row r="679" spans="1:18" x14ac:dyDescent="0.3">
      <c r="A679" s="2">
        <v>675</v>
      </c>
      <c r="B679" s="2">
        <v>0</v>
      </c>
      <c r="C679" s="2">
        <v>28</v>
      </c>
      <c r="D679" s="2">
        <f t="shared" si="119"/>
        <v>784</v>
      </c>
      <c r="E679" s="2">
        <v>90.834699999999998</v>
      </c>
      <c r="F679" s="2">
        <v>181.09469999999999</v>
      </c>
      <c r="G679" s="2">
        <v>0.74227100000000001</v>
      </c>
      <c r="H679" s="2">
        <v>1</v>
      </c>
      <c r="I679" s="3">
        <f t="shared" si="110"/>
        <v>-3.5329862114989473E-2</v>
      </c>
      <c r="J679" s="3">
        <f t="shared" si="111"/>
        <v>-0.14954743832748191</v>
      </c>
      <c r="K679" s="3">
        <f t="shared" si="112"/>
        <v>1.6214456299949278</v>
      </c>
      <c r="L679" s="3">
        <f t="shared" si="113"/>
        <v>0.13588461511660993</v>
      </c>
      <c r="M679" s="3">
        <f t="shared" si="114"/>
        <v>0.87961817898368333</v>
      </c>
      <c r="N679" s="3">
        <f t="shared" si="115"/>
        <v>-1.4496510960581555</v>
      </c>
      <c r="O679" s="3">
        <f t="shared" si="116"/>
        <v>0.11046488986158466</v>
      </c>
      <c r="P679" s="3">
        <f t="shared" si="117"/>
        <v>0.52758817446289097</v>
      </c>
      <c r="Q679" s="3">
        <f t="shared" si="118"/>
        <v>-0.74990416208251609</v>
      </c>
      <c r="R679" s="3">
        <f t="shared" si="120"/>
        <v>-0.52758817446289097</v>
      </c>
    </row>
    <row r="680" spans="1:18" x14ac:dyDescent="0.3">
      <c r="A680" s="2">
        <v>676</v>
      </c>
      <c r="B680" s="2">
        <v>1</v>
      </c>
      <c r="C680" s="2">
        <v>38</v>
      </c>
      <c r="D680" s="2">
        <f t="shared" si="119"/>
        <v>1444</v>
      </c>
      <c r="E680" s="2">
        <v>71.932199999999995</v>
      </c>
      <c r="F680" s="2">
        <v>190.52529999999999</v>
      </c>
      <c r="G680" s="2">
        <v>2.5198999999999999E-2</v>
      </c>
      <c r="H680" s="2">
        <v>2</v>
      </c>
      <c r="I680" s="3">
        <f t="shared" si="110"/>
        <v>1.4941013982741542</v>
      </c>
      <c r="J680" s="3">
        <f t="shared" si="111"/>
        <v>1.6225643324346428</v>
      </c>
      <c r="K680" s="3">
        <f t="shared" si="112"/>
        <v>-0.28932179801628993</v>
      </c>
      <c r="L680" s="3">
        <f t="shared" si="113"/>
        <v>1.0895377862027886</v>
      </c>
      <c r="M680" s="3">
        <f t="shared" si="114"/>
        <v>-1.6260113252392594</v>
      </c>
      <c r="N680" s="3">
        <f t="shared" si="115"/>
        <v>-0.86179582596158</v>
      </c>
      <c r="O680" s="3">
        <f t="shared" si="116"/>
        <v>6.8633289983598383E-2</v>
      </c>
      <c r="P680" s="3">
        <f t="shared" si="117"/>
        <v>0.5171515902698639</v>
      </c>
      <c r="Q680" s="3">
        <f t="shared" si="118"/>
        <v>-0.65941923609805408</v>
      </c>
      <c r="R680" s="3">
        <f t="shared" si="120"/>
        <v>0.4828484097301361</v>
      </c>
    </row>
    <row r="681" spans="1:18" x14ac:dyDescent="0.3">
      <c r="A681" s="2">
        <v>677</v>
      </c>
      <c r="B681" s="2">
        <v>0</v>
      </c>
      <c r="C681" s="2">
        <v>39</v>
      </c>
      <c r="D681" s="2">
        <f t="shared" si="119"/>
        <v>1521</v>
      </c>
      <c r="E681" s="2">
        <v>88.140100000000004</v>
      </c>
      <c r="F681" s="2">
        <v>174.2713</v>
      </c>
      <c r="G681" s="2">
        <v>0.35483199999999998</v>
      </c>
      <c r="H681" s="2">
        <v>5</v>
      </c>
      <c r="I681" s="3">
        <f t="shared" si="110"/>
        <v>1.6470445243130687</v>
      </c>
      <c r="J681" s="3">
        <f t="shared" si="111"/>
        <v>1.829310705690224</v>
      </c>
      <c r="K681" s="3">
        <f t="shared" si="112"/>
        <v>1.3490608178526706</v>
      </c>
      <c r="L681" s="3">
        <f t="shared" si="113"/>
        <v>-0.55411994955471811</v>
      </c>
      <c r="M681" s="3">
        <f t="shared" si="114"/>
        <v>-0.47419090781183065</v>
      </c>
      <c r="N681" s="3">
        <f t="shared" si="115"/>
        <v>0.90176998432814681</v>
      </c>
      <c r="O681" s="3">
        <f t="shared" si="116"/>
        <v>7.2395686688898453E-2</v>
      </c>
      <c r="P681" s="3">
        <f t="shared" si="117"/>
        <v>0.51809102090476433</v>
      </c>
      <c r="Q681" s="3">
        <f t="shared" si="118"/>
        <v>-0.73000002281544252</v>
      </c>
      <c r="R681" s="3">
        <f t="shared" si="120"/>
        <v>-0.51809102090476433</v>
      </c>
    </row>
    <row r="682" spans="1:18" x14ac:dyDescent="0.3">
      <c r="A682" s="2">
        <v>678</v>
      </c>
      <c r="B682" s="2">
        <v>0</v>
      </c>
      <c r="C682" s="2">
        <v>34</v>
      </c>
      <c r="D682" s="2">
        <f t="shared" si="119"/>
        <v>1156</v>
      </c>
      <c r="E682" s="2">
        <v>62.854599999999998</v>
      </c>
      <c r="F682" s="2">
        <v>163.3339</v>
      </c>
      <c r="G682" s="2">
        <v>0.78021300000000005</v>
      </c>
      <c r="H682" s="2">
        <v>5</v>
      </c>
      <c r="I682" s="3">
        <f t="shared" si="110"/>
        <v>0.8823288941184968</v>
      </c>
      <c r="J682" s="3">
        <f t="shared" si="111"/>
        <v>0.84927919610207925</v>
      </c>
      <c r="K682" s="3">
        <f t="shared" si="112"/>
        <v>-1.2069349393740267</v>
      </c>
      <c r="L682" s="3">
        <f t="shared" si="113"/>
        <v>-1.6601456736272022</v>
      </c>
      <c r="M682" s="3">
        <f t="shared" si="114"/>
        <v>1.0121970478409625</v>
      </c>
      <c r="N682" s="3">
        <f t="shared" si="115"/>
        <v>0.90176998432814681</v>
      </c>
      <c r="O682" s="3">
        <f t="shared" si="116"/>
        <v>-0.20269746518893622</v>
      </c>
      <c r="P682" s="3">
        <f t="shared" si="117"/>
        <v>0.44949842549311914</v>
      </c>
      <c r="Q682" s="3">
        <f t="shared" si="118"/>
        <v>-0.59692546268383617</v>
      </c>
      <c r="R682" s="3">
        <f t="shared" si="120"/>
        <v>-0.44949842549311914</v>
      </c>
    </row>
    <row r="683" spans="1:18" x14ac:dyDescent="0.3">
      <c r="A683" s="2">
        <v>679</v>
      </c>
      <c r="B683" s="2">
        <v>1</v>
      </c>
      <c r="C683" s="2">
        <v>30</v>
      </c>
      <c r="D683" s="2">
        <f t="shared" si="119"/>
        <v>900</v>
      </c>
      <c r="E683" s="2">
        <v>69.660899999999998</v>
      </c>
      <c r="F683" s="2">
        <v>186.9024</v>
      </c>
      <c r="G683" s="2">
        <v>0.56389299999999998</v>
      </c>
      <c r="H683" s="2">
        <v>3</v>
      </c>
      <c r="I683" s="3">
        <f t="shared" si="110"/>
        <v>0.27055638996283926</v>
      </c>
      <c r="J683" s="3">
        <f t="shared" si="111"/>
        <v>0.16191463047313392</v>
      </c>
      <c r="K683" s="3">
        <f t="shared" si="112"/>
        <v>-0.51891714568151259</v>
      </c>
      <c r="L683" s="3">
        <f t="shared" si="113"/>
        <v>0.72317826787647799</v>
      </c>
      <c r="M683" s="3">
        <f t="shared" si="114"/>
        <v>0.25632068625731808</v>
      </c>
      <c r="N683" s="3">
        <f t="shared" si="115"/>
        <v>-0.27394055586500432</v>
      </c>
      <c r="O683" s="3">
        <f t="shared" si="116"/>
        <v>-3.0543360003324232E-2</v>
      </c>
      <c r="P683" s="3">
        <f t="shared" si="117"/>
        <v>0.49236475356471299</v>
      </c>
      <c r="Q683" s="3">
        <f t="shared" si="118"/>
        <v>-0.70853546813413149</v>
      </c>
      <c r="R683" s="3">
        <f t="shared" si="120"/>
        <v>0.50763524643528701</v>
      </c>
    </row>
    <row r="684" spans="1:18" x14ac:dyDescent="0.3">
      <c r="A684" s="2">
        <v>680</v>
      </c>
      <c r="B684" s="2">
        <v>1</v>
      </c>
      <c r="C684" s="2">
        <v>18</v>
      </c>
      <c r="D684" s="2">
        <f t="shared" si="119"/>
        <v>324</v>
      </c>
      <c r="E684" s="2">
        <v>60.928600000000003</v>
      </c>
      <c r="F684" s="2">
        <v>154.41630000000001</v>
      </c>
      <c r="G684" s="2">
        <v>0.26116200000000001</v>
      </c>
      <c r="H684" s="2">
        <v>6</v>
      </c>
      <c r="I684" s="3">
        <f t="shared" si="110"/>
        <v>-1.5647611225041334</v>
      </c>
      <c r="J684" s="3">
        <f t="shared" si="111"/>
        <v>-1.3846556421919931</v>
      </c>
      <c r="K684" s="3">
        <f t="shared" si="112"/>
        <v>-1.4016254864630147</v>
      </c>
      <c r="L684" s="3">
        <f t="shared" si="113"/>
        <v>-2.5619226038838248</v>
      </c>
      <c r="M684" s="3">
        <f t="shared" si="114"/>
        <v>-0.80149739260075425</v>
      </c>
      <c r="N684" s="3">
        <f t="shared" si="115"/>
        <v>1.4896252544247224</v>
      </c>
      <c r="O684" s="3">
        <f t="shared" si="116"/>
        <v>0.12972307579978956</v>
      </c>
      <c r="P684" s="3">
        <f t="shared" si="117"/>
        <v>0.53238536639739287</v>
      </c>
      <c r="Q684" s="3">
        <f t="shared" si="118"/>
        <v>-0.63038767894450354</v>
      </c>
      <c r="R684" s="3">
        <f t="shared" si="120"/>
        <v>0.46761463360260713</v>
      </c>
    </row>
    <row r="685" spans="1:18" x14ac:dyDescent="0.3">
      <c r="A685" s="2">
        <v>681</v>
      </c>
      <c r="B685" s="2">
        <v>0</v>
      </c>
      <c r="C685" s="2">
        <v>19</v>
      </c>
      <c r="D685" s="2">
        <f t="shared" si="119"/>
        <v>361</v>
      </c>
      <c r="E685" s="2">
        <v>75.73</v>
      </c>
      <c r="F685" s="2">
        <v>172.6849</v>
      </c>
      <c r="G685" s="2">
        <v>0.69495300000000004</v>
      </c>
      <c r="H685" s="2">
        <v>5</v>
      </c>
      <c r="I685" s="3">
        <f t="shared" si="110"/>
        <v>-1.4118179964652189</v>
      </c>
      <c r="J685" s="3">
        <f t="shared" si="111"/>
        <v>-1.2853099823159346</v>
      </c>
      <c r="K685" s="3">
        <f t="shared" si="112"/>
        <v>9.4580465604978139E-2</v>
      </c>
      <c r="L685" s="3">
        <f t="shared" si="113"/>
        <v>-0.71454191534810474</v>
      </c>
      <c r="M685" s="3">
        <f t="shared" si="114"/>
        <v>0.71427721338912498</v>
      </c>
      <c r="N685" s="3">
        <f t="shared" si="115"/>
        <v>0.90176998432814681</v>
      </c>
      <c r="O685" s="3">
        <f t="shared" si="116"/>
        <v>0.17989166236119036</v>
      </c>
      <c r="P685" s="3">
        <f t="shared" si="117"/>
        <v>0.54485202603773908</v>
      </c>
      <c r="Q685" s="3">
        <f t="shared" si="118"/>
        <v>-0.7871326954034602</v>
      </c>
      <c r="R685" s="3">
        <f t="shared" si="120"/>
        <v>-0.54485202603773908</v>
      </c>
    </row>
    <row r="686" spans="1:18" x14ac:dyDescent="0.3">
      <c r="A686" s="2">
        <v>682</v>
      </c>
      <c r="B686" s="2">
        <v>1</v>
      </c>
      <c r="C686" s="2">
        <v>26</v>
      </c>
      <c r="D686" s="2">
        <f t="shared" si="119"/>
        <v>676</v>
      </c>
      <c r="E686" s="2">
        <v>82.800799999999995</v>
      </c>
      <c r="F686" s="2">
        <v>169.768</v>
      </c>
      <c r="G686" s="2">
        <v>0.56739099999999998</v>
      </c>
      <c r="H686" s="2">
        <v>2</v>
      </c>
      <c r="I686" s="3">
        <f t="shared" si="110"/>
        <v>-0.34121611419281822</v>
      </c>
      <c r="J686" s="3">
        <f t="shared" si="111"/>
        <v>-0.43952936445219321</v>
      </c>
      <c r="K686" s="3">
        <f t="shared" si="112"/>
        <v>0.80933535675597401</v>
      </c>
      <c r="L686" s="3">
        <f t="shared" si="113"/>
        <v>-1.0095084004859829</v>
      </c>
      <c r="M686" s="3">
        <f t="shared" si="114"/>
        <v>0.26854357601702405</v>
      </c>
      <c r="N686" s="3">
        <f t="shared" si="115"/>
        <v>-0.86179582596158</v>
      </c>
      <c r="O686" s="3">
        <f t="shared" si="116"/>
        <v>8.134789318004701E-2</v>
      </c>
      <c r="P686" s="3">
        <f t="shared" si="117"/>
        <v>0.5203257657524849</v>
      </c>
      <c r="Q686" s="3">
        <f t="shared" si="118"/>
        <v>-0.65330019095777303</v>
      </c>
      <c r="R686" s="3">
        <f t="shared" si="120"/>
        <v>0.4796742342475151</v>
      </c>
    </row>
    <row r="687" spans="1:18" x14ac:dyDescent="0.3">
      <c r="A687" s="2">
        <v>683</v>
      </c>
      <c r="B687" s="2">
        <v>1</v>
      </c>
      <c r="C687" s="2">
        <v>20</v>
      </c>
      <c r="D687" s="2">
        <f t="shared" si="119"/>
        <v>400</v>
      </c>
      <c r="E687" s="2">
        <v>75.751900000000006</v>
      </c>
      <c r="F687" s="2">
        <v>169.70070000000001</v>
      </c>
      <c r="G687" s="2">
        <v>0.79624399999999995</v>
      </c>
      <c r="H687" s="2">
        <v>6</v>
      </c>
      <c r="I687" s="3">
        <f t="shared" si="110"/>
        <v>-1.2588748704263044</v>
      </c>
      <c r="J687" s="3">
        <f t="shared" si="111"/>
        <v>-1.1805942867708998</v>
      </c>
      <c r="K687" s="3">
        <f t="shared" si="112"/>
        <v>9.6794236623279961E-2</v>
      </c>
      <c r="L687" s="3">
        <f t="shared" si="113"/>
        <v>-1.0163139969924713</v>
      </c>
      <c r="M687" s="3">
        <f t="shared" si="114"/>
        <v>1.0682133845298833</v>
      </c>
      <c r="N687" s="3">
        <f t="shared" si="115"/>
        <v>1.4896252544247224</v>
      </c>
      <c r="O687" s="3">
        <f t="shared" si="116"/>
        <v>0.11741114715618545</v>
      </c>
      <c r="P687" s="3">
        <f t="shared" si="117"/>
        <v>0.52931911327134373</v>
      </c>
      <c r="Q687" s="3">
        <f t="shared" si="118"/>
        <v>-0.6361637903009697</v>
      </c>
      <c r="R687" s="3">
        <f t="shared" si="120"/>
        <v>0.47068088672865627</v>
      </c>
    </row>
    <row r="688" spans="1:18" x14ac:dyDescent="0.3">
      <c r="A688" s="2">
        <v>684</v>
      </c>
      <c r="B688" s="2">
        <v>1</v>
      </c>
      <c r="C688" s="2">
        <v>18</v>
      </c>
      <c r="D688" s="2">
        <f t="shared" si="119"/>
        <v>324</v>
      </c>
      <c r="E688" s="2">
        <v>87.270499999999998</v>
      </c>
      <c r="F688" s="2">
        <v>172.50970000000001</v>
      </c>
      <c r="G688" s="2">
        <v>0.73502500000000004</v>
      </c>
      <c r="H688" s="2">
        <v>6</v>
      </c>
      <c r="I688" s="3">
        <f t="shared" si="110"/>
        <v>-1.5647611225041334</v>
      </c>
      <c r="J688" s="3">
        <f t="shared" si="111"/>
        <v>-1.3846556421919931</v>
      </c>
      <c r="K688" s="3">
        <f t="shared" si="112"/>
        <v>1.2611569239022109</v>
      </c>
      <c r="L688" s="3">
        <f t="shared" si="113"/>
        <v>-0.73225871338579995</v>
      </c>
      <c r="M688" s="3">
        <f t="shared" si="114"/>
        <v>0.85429883673130225</v>
      </c>
      <c r="N688" s="3">
        <f t="shared" si="115"/>
        <v>1.4896252544247224</v>
      </c>
      <c r="O688" s="3">
        <f t="shared" si="116"/>
        <v>0.27632881699753903</v>
      </c>
      <c r="P688" s="3">
        <f t="shared" si="117"/>
        <v>0.56864595567337795</v>
      </c>
      <c r="Q688" s="3">
        <f t="shared" si="118"/>
        <v>-0.56449726053141458</v>
      </c>
      <c r="R688" s="3">
        <f t="shared" si="120"/>
        <v>0.43135404432662205</v>
      </c>
    </row>
    <row r="689" spans="1:18" x14ac:dyDescent="0.3">
      <c r="A689" s="2">
        <v>685</v>
      </c>
      <c r="B689" s="2">
        <v>0</v>
      </c>
      <c r="C689" s="2">
        <v>38</v>
      </c>
      <c r="D689" s="2">
        <f t="shared" si="119"/>
        <v>1444</v>
      </c>
      <c r="E689" s="2">
        <v>67.508200000000002</v>
      </c>
      <c r="F689" s="2">
        <v>192.1737</v>
      </c>
      <c r="G689" s="2">
        <v>0.61010799999999998</v>
      </c>
      <c r="H689" s="2">
        <v>4</v>
      </c>
      <c r="I689" s="3">
        <f t="shared" si="110"/>
        <v>1.4941013982741542</v>
      </c>
      <c r="J689" s="3">
        <f t="shared" si="111"/>
        <v>1.6225643324346428</v>
      </c>
      <c r="K689" s="3">
        <f t="shared" si="112"/>
        <v>-0.73652376080013393</v>
      </c>
      <c r="L689" s="3">
        <f t="shared" si="113"/>
        <v>1.2562293951373704</v>
      </c>
      <c r="M689" s="3">
        <f t="shared" si="114"/>
        <v>0.41780749307401616</v>
      </c>
      <c r="N689" s="3">
        <f t="shared" si="115"/>
        <v>0.31391471423157125</v>
      </c>
      <c r="O689" s="3">
        <f t="shared" si="116"/>
        <v>-6.0079161842956384E-2</v>
      </c>
      <c r="P689" s="3">
        <f t="shared" si="117"/>
        <v>0.48498472574406593</v>
      </c>
      <c r="Q689" s="3">
        <f t="shared" si="118"/>
        <v>-0.66355872000882632</v>
      </c>
      <c r="R689" s="3">
        <f t="shared" si="120"/>
        <v>-0.48498472574406593</v>
      </c>
    </row>
    <row r="690" spans="1:18" x14ac:dyDescent="0.3">
      <c r="A690" s="2">
        <v>686</v>
      </c>
      <c r="B690" s="2">
        <v>0</v>
      </c>
      <c r="C690" s="2">
        <v>33</v>
      </c>
      <c r="D690" s="2">
        <f t="shared" si="119"/>
        <v>1089</v>
      </c>
      <c r="E690" s="2">
        <v>77.253399999999999</v>
      </c>
      <c r="F690" s="2">
        <v>188.2056</v>
      </c>
      <c r="G690" s="2">
        <v>0.488178</v>
      </c>
      <c r="H690" s="2">
        <v>4</v>
      </c>
      <c r="I690" s="3">
        <f t="shared" si="110"/>
        <v>0.72938576807958244</v>
      </c>
      <c r="J690" s="3">
        <f t="shared" si="111"/>
        <v>0.66938300119137872</v>
      </c>
      <c r="K690" s="3">
        <f t="shared" si="112"/>
        <v>0.24857401671368226</v>
      </c>
      <c r="L690" s="3">
        <f t="shared" si="113"/>
        <v>0.8549621217733151</v>
      </c>
      <c r="M690" s="3">
        <f t="shared" si="114"/>
        <v>-8.2465230497529643E-3</v>
      </c>
      <c r="N690" s="3">
        <f t="shared" si="115"/>
        <v>0.31391471423157125</v>
      </c>
      <c r="O690" s="3">
        <f t="shared" si="116"/>
        <v>5.2205278841503137E-3</v>
      </c>
      <c r="P690" s="3">
        <f t="shared" si="117"/>
        <v>0.50130512900688307</v>
      </c>
      <c r="Q690" s="3">
        <f t="shared" si="118"/>
        <v>-0.69576085123707554</v>
      </c>
      <c r="R690" s="3">
        <f t="shared" si="120"/>
        <v>-0.50130512900688307</v>
      </c>
    </row>
    <row r="691" spans="1:18" x14ac:dyDescent="0.3">
      <c r="A691" s="2">
        <v>687</v>
      </c>
      <c r="B691" s="2">
        <v>0</v>
      </c>
      <c r="C691" s="2">
        <v>23</v>
      </c>
      <c r="D691" s="2">
        <f t="shared" si="119"/>
        <v>529</v>
      </c>
      <c r="E691" s="2">
        <v>69.725300000000004</v>
      </c>
      <c r="F691" s="2">
        <v>177.48269999999999</v>
      </c>
      <c r="G691" s="2">
        <v>0.13318199999999999</v>
      </c>
      <c r="H691" s="2">
        <v>4</v>
      </c>
      <c r="I691" s="3">
        <f t="shared" si="110"/>
        <v>-0.80004549230956135</v>
      </c>
      <c r="J691" s="3">
        <f t="shared" si="111"/>
        <v>-0.83422698612193913</v>
      </c>
      <c r="K691" s="3">
        <f t="shared" si="112"/>
        <v>-0.5124072436916205</v>
      </c>
      <c r="L691" s="3">
        <f t="shared" si="113"/>
        <v>-0.229372659496169</v>
      </c>
      <c r="M691" s="3">
        <f t="shared" si="114"/>
        <v>-1.2486916268623798</v>
      </c>
      <c r="N691" s="3">
        <f t="shared" si="115"/>
        <v>0.31391471423157125</v>
      </c>
      <c r="O691" s="3">
        <f t="shared" si="116"/>
        <v>0.1261568673792354</v>
      </c>
      <c r="P691" s="3">
        <f t="shared" si="117"/>
        <v>0.53149745296755846</v>
      </c>
      <c r="Q691" s="3">
        <f t="shared" si="118"/>
        <v>-0.75821374074972636</v>
      </c>
      <c r="R691" s="3">
        <f t="shared" si="120"/>
        <v>-0.53149745296755846</v>
      </c>
    </row>
    <row r="692" spans="1:18" x14ac:dyDescent="0.3">
      <c r="A692" s="2">
        <v>688</v>
      </c>
      <c r="B692" s="2">
        <v>1</v>
      </c>
      <c r="C692" s="2">
        <v>34</v>
      </c>
      <c r="D692" s="2">
        <f t="shared" si="119"/>
        <v>1156</v>
      </c>
      <c r="E692" s="2">
        <v>78.616799999999998</v>
      </c>
      <c r="F692" s="2">
        <v>191.33619999999999</v>
      </c>
      <c r="G692" s="2">
        <v>0.26133299999999998</v>
      </c>
      <c r="H692" s="2">
        <v>4</v>
      </c>
      <c r="I692" s="3">
        <f t="shared" si="110"/>
        <v>0.8823288941184968</v>
      </c>
      <c r="J692" s="3">
        <f t="shared" si="111"/>
        <v>0.84927919610207925</v>
      </c>
      <c r="K692" s="3">
        <f t="shared" si="112"/>
        <v>0.38639389828228382</v>
      </c>
      <c r="L692" s="3">
        <f t="shared" si="113"/>
        <v>1.1715386510930168</v>
      </c>
      <c r="M692" s="3">
        <f t="shared" si="114"/>
        <v>-0.80089987569140331</v>
      </c>
      <c r="N692" s="3">
        <f t="shared" si="115"/>
        <v>0.31391471423157125</v>
      </c>
      <c r="O692" s="3">
        <f t="shared" si="116"/>
        <v>5.2648421668269059E-2</v>
      </c>
      <c r="P692" s="3">
        <f t="shared" si="117"/>
        <v>0.51315906597081562</v>
      </c>
      <c r="Q692" s="3">
        <f t="shared" si="118"/>
        <v>-0.66716941175462297</v>
      </c>
      <c r="R692" s="3">
        <f t="shared" si="120"/>
        <v>0.48684093402918438</v>
      </c>
    </row>
    <row r="693" spans="1:18" x14ac:dyDescent="0.3">
      <c r="A693" s="2">
        <v>689</v>
      </c>
      <c r="B693" s="2">
        <v>0</v>
      </c>
      <c r="C693" s="2">
        <v>22</v>
      </c>
      <c r="D693" s="2">
        <f t="shared" si="119"/>
        <v>484</v>
      </c>
      <c r="E693" s="2">
        <v>80.037400000000005</v>
      </c>
      <c r="F693" s="2">
        <v>169.37700000000001</v>
      </c>
      <c r="G693" s="2">
        <v>0.419099</v>
      </c>
      <c r="H693" s="2">
        <v>3</v>
      </c>
      <c r="I693" s="3">
        <f t="shared" si="110"/>
        <v>-0.9529886183484757</v>
      </c>
      <c r="J693" s="3">
        <f t="shared" si="111"/>
        <v>-0.9550527886739022</v>
      </c>
      <c r="K693" s="3">
        <f t="shared" si="112"/>
        <v>0.52999586671147303</v>
      </c>
      <c r="L693" s="3">
        <f t="shared" si="113"/>
        <v>-1.0490476015860919</v>
      </c>
      <c r="M693" s="3">
        <f t="shared" si="114"/>
        <v>-0.24962588317288797</v>
      </c>
      <c r="N693" s="3">
        <f t="shared" si="115"/>
        <v>-0.27394055586500432</v>
      </c>
      <c r="O693" s="3">
        <f t="shared" si="116"/>
        <v>0.16724793619609565</v>
      </c>
      <c r="P693" s="3">
        <f t="shared" si="117"/>
        <v>0.54171479261322775</v>
      </c>
      <c r="Q693" s="3">
        <f t="shared" si="118"/>
        <v>-0.78026356512790207</v>
      </c>
      <c r="R693" s="3">
        <f t="shared" si="120"/>
        <v>-0.54171479261322775</v>
      </c>
    </row>
    <row r="694" spans="1:18" x14ac:dyDescent="0.3">
      <c r="A694" s="2">
        <v>690</v>
      </c>
      <c r="B694" s="2">
        <v>1</v>
      </c>
      <c r="C694" s="2">
        <v>22</v>
      </c>
      <c r="D694" s="2">
        <f t="shared" si="119"/>
        <v>484</v>
      </c>
      <c r="E694" s="2">
        <v>80.823999999999998</v>
      </c>
      <c r="F694" s="2">
        <v>168.0172</v>
      </c>
      <c r="G694" s="2">
        <v>0.59929900000000003</v>
      </c>
      <c r="H694" s="2">
        <v>5</v>
      </c>
      <c r="I694" s="3">
        <f t="shared" si="110"/>
        <v>-0.9529886183484757</v>
      </c>
      <c r="J694" s="3">
        <f t="shared" si="111"/>
        <v>-0.9550527886739022</v>
      </c>
      <c r="K694" s="3">
        <f t="shared" si="112"/>
        <v>0.60950966958800312</v>
      </c>
      <c r="L694" s="3">
        <f t="shared" si="113"/>
        <v>-1.1865550329311805</v>
      </c>
      <c r="M694" s="3">
        <f t="shared" si="114"/>
        <v>0.38003813475135723</v>
      </c>
      <c r="N694" s="3">
        <f t="shared" si="115"/>
        <v>0.90176998432814681</v>
      </c>
      <c r="O694" s="3">
        <f t="shared" si="116"/>
        <v>0.12611775383842033</v>
      </c>
      <c r="P694" s="3">
        <f t="shared" si="117"/>
        <v>0.53148771337449185</v>
      </c>
      <c r="Q694" s="3">
        <f t="shared" si="118"/>
        <v>-0.63207519835446102</v>
      </c>
      <c r="R694" s="3">
        <f t="shared" si="120"/>
        <v>0.46851228662550815</v>
      </c>
    </row>
    <row r="695" spans="1:18" x14ac:dyDescent="0.3">
      <c r="A695" s="2">
        <v>691</v>
      </c>
      <c r="B695" s="2">
        <v>0</v>
      </c>
      <c r="C695" s="2">
        <v>23</v>
      </c>
      <c r="D695" s="2">
        <f t="shared" si="119"/>
        <v>529</v>
      </c>
      <c r="E695" s="2">
        <v>64.2941</v>
      </c>
      <c r="F695" s="2">
        <v>188.636</v>
      </c>
      <c r="G695" s="2">
        <v>0.51370800000000005</v>
      </c>
      <c r="H695" s="2">
        <v>4</v>
      </c>
      <c r="I695" s="3">
        <f t="shared" si="110"/>
        <v>-0.80004549230956135</v>
      </c>
      <c r="J695" s="3">
        <f t="shared" si="111"/>
        <v>-0.83422698612193913</v>
      </c>
      <c r="K695" s="3">
        <f t="shared" si="112"/>
        <v>-1.0614224562304133</v>
      </c>
      <c r="L695" s="3">
        <f t="shared" si="113"/>
        <v>0.89848557996637635</v>
      </c>
      <c r="M695" s="3">
        <f t="shared" si="114"/>
        <v>8.0961703241068411E-2</v>
      </c>
      <c r="N695" s="3">
        <f t="shared" si="115"/>
        <v>0.31391471423157125</v>
      </c>
      <c r="O695" s="3">
        <f t="shared" si="116"/>
        <v>5.9795200694993791E-2</v>
      </c>
      <c r="P695" s="3">
        <f t="shared" si="117"/>
        <v>0.51494434768844988</v>
      </c>
      <c r="Q695" s="3">
        <f t="shared" si="118"/>
        <v>-0.72349164759346718</v>
      </c>
      <c r="R695" s="3">
        <f t="shared" si="120"/>
        <v>-0.51494434768844988</v>
      </c>
    </row>
    <row r="696" spans="1:18" x14ac:dyDescent="0.3">
      <c r="A696" s="2">
        <v>692</v>
      </c>
      <c r="B696" s="2">
        <v>0</v>
      </c>
      <c r="C696" s="2">
        <v>20</v>
      </c>
      <c r="D696" s="2">
        <f t="shared" si="119"/>
        <v>400</v>
      </c>
      <c r="E696" s="2">
        <v>66.102500000000006</v>
      </c>
      <c r="F696" s="2">
        <v>185.79640000000001</v>
      </c>
      <c r="G696" s="2">
        <v>0.28818500000000002</v>
      </c>
      <c r="H696" s="2">
        <v>1</v>
      </c>
      <c r="I696" s="3">
        <f t="shared" si="110"/>
        <v>-1.2588748704263044</v>
      </c>
      <c r="J696" s="3">
        <f t="shared" si="111"/>
        <v>-1.1805942867708998</v>
      </c>
      <c r="K696" s="3">
        <f t="shared" si="112"/>
        <v>-0.87861955625339994</v>
      </c>
      <c r="L696" s="3">
        <f t="shared" si="113"/>
        <v>0.61133592409969728</v>
      </c>
      <c r="M696" s="3">
        <f t="shared" si="114"/>
        <v>-0.70707224966864057</v>
      </c>
      <c r="N696" s="3">
        <f t="shared" si="115"/>
        <v>-1.4496510960581555</v>
      </c>
      <c r="O696" s="3">
        <f t="shared" si="116"/>
        <v>0.20762802483098353</v>
      </c>
      <c r="P696" s="3">
        <f t="shared" si="117"/>
        <v>0.55172133328131534</v>
      </c>
      <c r="Q696" s="3">
        <f t="shared" si="118"/>
        <v>-0.8023402160182127</v>
      </c>
      <c r="R696" s="3">
        <f t="shared" si="120"/>
        <v>-0.55172133328131534</v>
      </c>
    </row>
    <row r="697" spans="1:18" x14ac:dyDescent="0.3">
      <c r="A697" s="2">
        <v>693</v>
      </c>
      <c r="B697" s="2">
        <v>1</v>
      </c>
      <c r="C697" s="2">
        <v>38</v>
      </c>
      <c r="D697" s="2">
        <f t="shared" si="119"/>
        <v>1444</v>
      </c>
      <c r="E697" s="2">
        <v>67.957099999999997</v>
      </c>
      <c r="F697" s="2">
        <v>175.3974</v>
      </c>
      <c r="G697" s="2">
        <v>6.4640000000000001E-3</v>
      </c>
      <c r="H697" s="2">
        <v>4</v>
      </c>
      <c r="I697" s="3">
        <f t="shared" si="110"/>
        <v>1.4941013982741542</v>
      </c>
      <c r="J697" s="3">
        <f t="shared" si="111"/>
        <v>1.6225643324346428</v>
      </c>
      <c r="K697" s="3">
        <f t="shared" si="112"/>
        <v>-0.6911465091966833</v>
      </c>
      <c r="L697" s="3">
        <f t="shared" si="113"/>
        <v>-0.44024502792087145</v>
      </c>
      <c r="M697" s="3">
        <f t="shared" si="114"/>
        <v>-1.6914761164479761</v>
      </c>
      <c r="N697" s="3">
        <f t="shared" si="115"/>
        <v>0.31391471423157125</v>
      </c>
      <c r="O697" s="3">
        <f t="shared" si="116"/>
        <v>-6.7804411003371387E-3</v>
      </c>
      <c r="P697" s="3">
        <f t="shared" si="117"/>
        <v>0.49830489621918972</v>
      </c>
      <c r="Q697" s="3">
        <f t="shared" si="118"/>
        <v>-0.69654314789679472</v>
      </c>
      <c r="R697" s="3">
        <f t="shared" si="120"/>
        <v>0.50169510378081028</v>
      </c>
    </row>
    <row r="698" spans="1:18" x14ac:dyDescent="0.3">
      <c r="A698" s="2">
        <v>694</v>
      </c>
      <c r="B698" s="2">
        <v>0</v>
      </c>
      <c r="C698" s="2">
        <v>22</v>
      </c>
      <c r="D698" s="2">
        <f t="shared" si="119"/>
        <v>484</v>
      </c>
      <c r="E698" s="2">
        <v>72.611199999999997</v>
      </c>
      <c r="F698" s="2">
        <v>168.6454</v>
      </c>
      <c r="G698" s="2">
        <v>0.49623899999999999</v>
      </c>
      <c r="H698" s="2">
        <v>5</v>
      </c>
      <c r="I698" s="3">
        <f t="shared" si="110"/>
        <v>-0.9529886183484757</v>
      </c>
      <c r="J698" s="3">
        <f t="shared" si="111"/>
        <v>-0.9550527886739022</v>
      </c>
      <c r="K698" s="3">
        <f t="shared" si="112"/>
        <v>-0.22068478790547807</v>
      </c>
      <c r="L698" s="3">
        <f t="shared" si="113"/>
        <v>-1.1230293906521811</v>
      </c>
      <c r="M698" s="3">
        <f t="shared" si="114"/>
        <v>1.9920633712107914E-2</v>
      </c>
      <c r="N698" s="3">
        <f t="shared" si="115"/>
        <v>0.90176998432814681</v>
      </c>
      <c r="O698" s="3">
        <f t="shared" si="116"/>
        <v>8.8468732089428043E-2</v>
      </c>
      <c r="P698" s="3">
        <f t="shared" si="117"/>
        <v>0.5221027688935681</v>
      </c>
      <c r="Q698" s="3">
        <f t="shared" si="118"/>
        <v>-0.7383595672912856</v>
      </c>
      <c r="R698" s="3">
        <f t="shared" si="120"/>
        <v>-0.5221027688935681</v>
      </c>
    </row>
    <row r="699" spans="1:18" x14ac:dyDescent="0.3">
      <c r="A699" s="2">
        <v>695</v>
      </c>
      <c r="B699" s="2">
        <v>1</v>
      </c>
      <c r="C699" s="2">
        <v>38</v>
      </c>
      <c r="D699" s="2">
        <f t="shared" si="119"/>
        <v>1444</v>
      </c>
      <c r="E699" s="2">
        <v>75.871899999999997</v>
      </c>
      <c r="F699" s="2">
        <v>194.59729999999999</v>
      </c>
      <c r="G699" s="2">
        <v>0.28562599999999999</v>
      </c>
      <c r="H699" s="2">
        <v>4</v>
      </c>
      <c r="I699" s="3">
        <f t="shared" si="110"/>
        <v>1.4941013982741542</v>
      </c>
      <c r="J699" s="3">
        <f t="shared" si="111"/>
        <v>1.6225643324346428</v>
      </c>
      <c r="K699" s="3">
        <f t="shared" si="112"/>
        <v>0.10892448877835614</v>
      </c>
      <c r="L699" s="3">
        <f t="shared" si="113"/>
        <v>1.5013117679921684</v>
      </c>
      <c r="M699" s="3">
        <f t="shared" si="114"/>
        <v>-0.71601403780331407</v>
      </c>
      <c r="N699" s="3">
        <f t="shared" si="115"/>
        <v>0.31391471423157125</v>
      </c>
      <c r="O699" s="3">
        <f t="shared" si="116"/>
        <v>4.9216067701377438E-2</v>
      </c>
      <c r="P699" s="3">
        <f t="shared" si="117"/>
        <v>0.51230153393910027</v>
      </c>
      <c r="Q699" s="3">
        <f t="shared" si="118"/>
        <v>-0.66884189382108394</v>
      </c>
      <c r="R699" s="3">
        <f t="shared" si="120"/>
        <v>0.48769846606089973</v>
      </c>
    </row>
    <row r="700" spans="1:18" x14ac:dyDescent="0.3">
      <c r="A700" s="2">
        <v>696</v>
      </c>
      <c r="B700" s="2">
        <v>0</v>
      </c>
      <c r="C700" s="2">
        <v>22</v>
      </c>
      <c r="D700" s="2">
        <f t="shared" si="119"/>
        <v>484</v>
      </c>
      <c r="E700" s="2">
        <v>82.0809</v>
      </c>
      <c r="F700" s="2">
        <v>162.79900000000001</v>
      </c>
      <c r="G700" s="2">
        <v>0.73460800000000004</v>
      </c>
      <c r="H700" s="2">
        <v>3</v>
      </c>
      <c r="I700" s="3">
        <f t="shared" si="110"/>
        <v>-0.9529886183484757</v>
      </c>
      <c r="J700" s="3">
        <f t="shared" si="111"/>
        <v>-0.9550527886739022</v>
      </c>
      <c r="K700" s="3">
        <f t="shared" si="112"/>
        <v>0.7365639523689741</v>
      </c>
      <c r="L700" s="3">
        <f t="shared" si="113"/>
        <v>-1.7142365142114695</v>
      </c>
      <c r="M700" s="3">
        <f t="shared" si="114"/>
        <v>0.85284173409270958</v>
      </c>
      <c r="N700" s="3">
        <f t="shared" si="115"/>
        <v>-0.27394055586500432</v>
      </c>
      <c r="O700" s="3">
        <f t="shared" si="116"/>
        <v>0.11851683542317992</v>
      </c>
      <c r="P700" s="3">
        <f t="shared" si="117"/>
        <v>0.52959457591899872</v>
      </c>
      <c r="Q700" s="3">
        <f t="shared" si="118"/>
        <v>-0.75416035167975737</v>
      </c>
      <c r="R700" s="3">
        <f t="shared" si="120"/>
        <v>-0.52959457591899872</v>
      </c>
    </row>
    <row r="701" spans="1:18" x14ac:dyDescent="0.3">
      <c r="A701" s="2">
        <v>697</v>
      </c>
      <c r="B701" s="2">
        <v>0</v>
      </c>
      <c r="C701" s="2">
        <v>27</v>
      </c>
      <c r="D701" s="2">
        <f t="shared" si="119"/>
        <v>729</v>
      </c>
      <c r="E701" s="2">
        <v>66.519000000000005</v>
      </c>
      <c r="F701" s="2">
        <v>174.01570000000001</v>
      </c>
      <c r="G701" s="2">
        <v>2.3945999999999999E-2</v>
      </c>
      <c r="H701" s="2">
        <v>2</v>
      </c>
      <c r="I701" s="3">
        <f t="shared" si="110"/>
        <v>-0.18827298815390386</v>
      </c>
      <c r="J701" s="3">
        <f t="shared" si="111"/>
        <v>-0.29722341922432566</v>
      </c>
      <c r="K701" s="3">
        <f t="shared" si="112"/>
        <v>-0.83651747273181964</v>
      </c>
      <c r="L701" s="3">
        <f t="shared" si="113"/>
        <v>-0.57996705902067092</v>
      </c>
      <c r="M701" s="3">
        <f t="shared" si="114"/>
        <v>-1.6303896216569014</v>
      </c>
      <c r="N701" s="3">
        <f t="shared" si="115"/>
        <v>-0.86179582596158</v>
      </c>
      <c r="O701" s="3">
        <f t="shared" si="116"/>
        <v>4.6597059193199279E-2</v>
      </c>
      <c r="P701" s="3">
        <f t="shared" si="117"/>
        <v>0.51164715743214317</v>
      </c>
      <c r="Q701" s="3">
        <f t="shared" si="118"/>
        <v>-0.71671709634618375</v>
      </c>
      <c r="R701" s="3">
        <f t="shared" si="120"/>
        <v>-0.51164715743214317</v>
      </c>
    </row>
    <row r="702" spans="1:18" x14ac:dyDescent="0.3">
      <c r="A702" s="2">
        <v>698</v>
      </c>
      <c r="B702" s="2">
        <v>1</v>
      </c>
      <c r="C702" s="2">
        <v>27</v>
      </c>
      <c r="D702" s="2">
        <f t="shared" si="119"/>
        <v>729</v>
      </c>
      <c r="E702" s="2">
        <v>58.989800000000002</v>
      </c>
      <c r="F702" s="2">
        <v>182.28579999999999</v>
      </c>
      <c r="G702" s="2">
        <v>0.58482800000000001</v>
      </c>
      <c r="H702" s="2">
        <v>2</v>
      </c>
      <c r="I702" s="3">
        <f t="shared" si="110"/>
        <v>-0.18827298815390386</v>
      </c>
      <c r="J702" s="3">
        <f t="shared" si="111"/>
        <v>-0.29722341922432566</v>
      </c>
      <c r="K702" s="3">
        <f t="shared" si="112"/>
        <v>-1.5976099271152115</v>
      </c>
      <c r="L702" s="3">
        <f t="shared" si="113"/>
        <v>0.25633254972106279</v>
      </c>
      <c r="M702" s="3">
        <f t="shared" si="114"/>
        <v>0.32947282951616436</v>
      </c>
      <c r="N702" s="3">
        <f t="shared" si="115"/>
        <v>-0.86179582596158</v>
      </c>
      <c r="O702" s="3">
        <f t="shared" si="116"/>
        <v>-6.7210228876125364E-2</v>
      </c>
      <c r="P702" s="3">
        <f t="shared" si="117"/>
        <v>0.48320376498854445</v>
      </c>
      <c r="Q702" s="3">
        <f t="shared" si="118"/>
        <v>-0.72731684061095958</v>
      </c>
      <c r="R702" s="3">
        <f t="shared" si="120"/>
        <v>0.51679623501145555</v>
      </c>
    </row>
    <row r="703" spans="1:18" x14ac:dyDescent="0.3">
      <c r="A703" s="2">
        <v>699</v>
      </c>
      <c r="B703" s="2">
        <v>1</v>
      </c>
      <c r="C703" s="2">
        <v>36</v>
      </c>
      <c r="D703" s="2">
        <f t="shared" si="119"/>
        <v>1296</v>
      </c>
      <c r="E703" s="2">
        <v>96.557400000000001</v>
      </c>
      <c r="F703" s="2">
        <v>198.02160000000001</v>
      </c>
      <c r="G703" s="2">
        <v>0.94147400000000003</v>
      </c>
      <c r="H703" s="2">
        <v>5</v>
      </c>
      <c r="I703" s="3">
        <f t="shared" si="110"/>
        <v>1.1882151461963255</v>
      </c>
      <c r="J703" s="3">
        <f t="shared" si="111"/>
        <v>1.2251816929304087</v>
      </c>
      <c r="K703" s="3">
        <f t="shared" si="112"/>
        <v>2.1999272467270954</v>
      </c>
      <c r="L703" s="3">
        <f t="shared" si="113"/>
        <v>1.8475882036113673</v>
      </c>
      <c r="M703" s="3">
        <f t="shared" si="114"/>
        <v>1.5756834473663881</v>
      </c>
      <c r="N703" s="3">
        <f t="shared" si="115"/>
        <v>0.90176998432814681</v>
      </c>
      <c r="O703" s="3">
        <f t="shared" si="116"/>
        <v>7.9118141034073025E-2</v>
      </c>
      <c r="P703" s="3">
        <f t="shared" si="117"/>
        <v>0.51976922391587199</v>
      </c>
      <c r="Q703" s="3">
        <f t="shared" si="118"/>
        <v>-0.65437036607688692</v>
      </c>
      <c r="R703" s="3">
        <f t="shared" si="120"/>
        <v>0.48023077608412801</v>
      </c>
    </row>
    <row r="704" spans="1:18" x14ac:dyDescent="0.3">
      <c r="A704" s="2">
        <v>700</v>
      </c>
      <c r="B704" s="2">
        <v>1</v>
      </c>
      <c r="C704" s="2">
        <v>34</v>
      </c>
      <c r="D704" s="2">
        <f t="shared" si="119"/>
        <v>1156</v>
      </c>
      <c r="E704" s="2">
        <v>63.685499999999998</v>
      </c>
      <c r="F704" s="2">
        <v>183.83099999999999</v>
      </c>
      <c r="G704" s="2">
        <v>0.17440900000000001</v>
      </c>
      <c r="H704" s="2">
        <v>2</v>
      </c>
      <c r="I704" s="3">
        <f t="shared" si="110"/>
        <v>0.8823288941184968</v>
      </c>
      <c r="J704" s="3">
        <f t="shared" si="111"/>
        <v>0.84927919610207925</v>
      </c>
      <c r="K704" s="3">
        <f t="shared" si="112"/>
        <v>-1.1229430517435799</v>
      </c>
      <c r="L704" s="3">
        <f t="shared" si="113"/>
        <v>0.41258823652384929</v>
      </c>
      <c r="M704" s="3">
        <f t="shared" si="114"/>
        <v>-1.1046341436938845</v>
      </c>
      <c r="N704" s="3">
        <f t="shared" si="115"/>
        <v>-0.86179582596158</v>
      </c>
      <c r="O704" s="3">
        <f t="shared" si="116"/>
        <v>-3.458970239272615E-2</v>
      </c>
      <c r="P704" s="3">
        <f t="shared" si="117"/>
        <v>0.49135343648124524</v>
      </c>
      <c r="Q704" s="3">
        <f t="shared" si="118"/>
        <v>-0.71059158024019553</v>
      </c>
      <c r="R704" s="3">
        <f t="shared" si="120"/>
        <v>0.5086465635187547</v>
      </c>
    </row>
    <row r="705" spans="1:18" x14ac:dyDescent="0.3">
      <c r="A705" s="2">
        <v>701</v>
      </c>
      <c r="B705" s="2">
        <v>0</v>
      </c>
      <c r="C705" s="2">
        <v>38</v>
      </c>
      <c r="D705" s="2">
        <f t="shared" si="119"/>
        <v>1444</v>
      </c>
      <c r="E705" s="2">
        <v>83.363200000000006</v>
      </c>
      <c r="F705" s="2">
        <v>184.803</v>
      </c>
      <c r="G705" s="2">
        <v>0.47164899999999998</v>
      </c>
      <c r="H705" s="2">
        <v>2</v>
      </c>
      <c r="I705" s="3">
        <f t="shared" si="110"/>
        <v>1.4941013982741542</v>
      </c>
      <c r="J705" s="3">
        <f t="shared" si="111"/>
        <v>1.6225643324346428</v>
      </c>
      <c r="K705" s="3">
        <f t="shared" si="112"/>
        <v>0.86618580518943677</v>
      </c>
      <c r="L705" s="3">
        <f t="shared" si="113"/>
        <v>0.51088006125353502</v>
      </c>
      <c r="M705" s="3">
        <f t="shared" si="114"/>
        <v>-6.600299670274884E-2</v>
      </c>
      <c r="N705" s="3">
        <f t="shared" si="115"/>
        <v>-0.86179582596158</v>
      </c>
      <c r="O705" s="3">
        <f t="shared" si="116"/>
        <v>6.4673561649110714E-2</v>
      </c>
      <c r="P705" s="3">
        <f t="shared" si="117"/>
        <v>0.51616275718223692</v>
      </c>
      <c r="Q705" s="3">
        <f t="shared" si="118"/>
        <v>-0.72600670398858991</v>
      </c>
      <c r="R705" s="3">
        <f t="shared" si="120"/>
        <v>-0.51616275718223692</v>
      </c>
    </row>
    <row r="706" spans="1:18" x14ac:dyDescent="0.3">
      <c r="A706" s="2">
        <v>702</v>
      </c>
      <c r="B706" s="2">
        <v>0</v>
      </c>
      <c r="C706" s="2">
        <v>31</v>
      </c>
      <c r="D706" s="2">
        <f t="shared" si="119"/>
        <v>961</v>
      </c>
      <c r="E706" s="2">
        <v>75.312700000000007</v>
      </c>
      <c r="F706" s="2">
        <v>174.30619999999999</v>
      </c>
      <c r="G706" s="2">
        <v>9.1422000000000003E-2</v>
      </c>
      <c r="H706" s="2">
        <v>1</v>
      </c>
      <c r="I706" s="3">
        <f t="shared" si="110"/>
        <v>0.42349951600175367</v>
      </c>
      <c r="J706" s="3">
        <f t="shared" si="111"/>
        <v>0.32570071837690606</v>
      </c>
      <c r="K706" s="3">
        <f t="shared" si="112"/>
        <v>5.2397513735697579E-2</v>
      </c>
      <c r="L706" s="3">
        <f t="shared" si="113"/>
        <v>-0.55059074720588541</v>
      </c>
      <c r="M706" s="3">
        <f t="shared" si="114"/>
        <v>-1.3946115457775654</v>
      </c>
      <c r="N706" s="3">
        <f t="shared" si="115"/>
        <v>-1.4496510960581555</v>
      </c>
      <c r="O706" s="3">
        <f t="shared" si="116"/>
        <v>5.4937517038422166E-2</v>
      </c>
      <c r="P706" s="3">
        <f t="shared" si="117"/>
        <v>0.51373092595579029</v>
      </c>
      <c r="Q706" s="3">
        <f t="shared" si="118"/>
        <v>-0.72099315799269459</v>
      </c>
      <c r="R706" s="3">
        <f t="shared" si="120"/>
        <v>-0.51373092595579029</v>
      </c>
    </row>
    <row r="707" spans="1:18" x14ac:dyDescent="0.3">
      <c r="A707" s="2">
        <v>703</v>
      </c>
      <c r="B707" s="2">
        <v>0</v>
      </c>
      <c r="C707" s="2">
        <v>26</v>
      </c>
      <c r="D707" s="2">
        <f t="shared" si="119"/>
        <v>676</v>
      </c>
      <c r="E707" s="2">
        <v>77.513099999999994</v>
      </c>
      <c r="F707" s="2">
        <v>185.6848</v>
      </c>
      <c r="G707" s="2">
        <v>0.62568199999999996</v>
      </c>
      <c r="H707" s="2">
        <v>5</v>
      </c>
      <c r="I707" s="3">
        <f t="shared" si="110"/>
        <v>-0.34121611419281822</v>
      </c>
      <c r="J707" s="3">
        <f t="shared" si="111"/>
        <v>-0.43952936445219321</v>
      </c>
      <c r="K707" s="3">
        <f t="shared" si="112"/>
        <v>0.27482590408596125</v>
      </c>
      <c r="L707" s="3">
        <f t="shared" si="113"/>
        <v>0.60005056644554722</v>
      </c>
      <c r="M707" s="3">
        <f t="shared" si="114"/>
        <v>0.4722269570870693</v>
      </c>
      <c r="N707" s="3">
        <f t="shared" si="115"/>
        <v>0.90176998432814681</v>
      </c>
      <c r="O707" s="3">
        <f t="shared" si="116"/>
        <v>5.0364386080357655E-2</v>
      </c>
      <c r="P707" s="3">
        <f t="shared" si="117"/>
        <v>0.51258843567710066</v>
      </c>
      <c r="Q707" s="3">
        <f t="shared" si="118"/>
        <v>-0.71864641151751718</v>
      </c>
      <c r="R707" s="3">
        <f t="shared" si="120"/>
        <v>-0.51258843567710066</v>
      </c>
    </row>
    <row r="708" spans="1:18" x14ac:dyDescent="0.3">
      <c r="A708" s="2">
        <v>704</v>
      </c>
      <c r="B708" s="2">
        <v>1</v>
      </c>
      <c r="C708" s="2">
        <v>31</v>
      </c>
      <c r="D708" s="2">
        <f t="shared" si="119"/>
        <v>961</v>
      </c>
      <c r="E708" s="2">
        <v>74.984499999999997</v>
      </c>
      <c r="F708" s="2">
        <v>181.0531</v>
      </c>
      <c r="G708" s="2">
        <v>0.55053200000000002</v>
      </c>
      <c r="H708" s="2">
        <v>5</v>
      </c>
      <c r="I708" s="3">
        <f t="shared" si="110"/>
        <v>0.42349951600175367</v>
      </c>
      <c r="J708" s="3">
        <f t="shared" si="111"/>
        <v>0.32570071837690606</v>
      </c>
      <c r="K708" s="3">
        <f t="shared" si="112"/>
        <v>1.9221274091560565E-2</v>
      </c>
      <c r="L708" s="3">
        <f t="shared" si="113"/>
        <v>0.13167788681542297</v>
      </c>
      <c r="M708" s="3">
        <f t="shared" si="114"/>
        <v>0.20963399955650894</v>
      </c>
      <c r="N708" s="3">
        <f t="shared" si="115"/>
        <v>0.90176998432814681</v>
      </c>
      <c r="O708" s="3">
        <f t="shared" si="116"/>
        <v>-3.2394287306830735E-2</v>
      </c>
      <c r="P708" s="3">
        <f t="shared" si="117"/>
        <v>0.49190213631223723</v>
      </c>
      <c r="Q708" s="3">
        <f t="shared" si="118"/>
        <v>-0.70947549220951078</v>
      </c>
      <c r="R708" s="3">
        <f t="shared" si="120"/>
        <v>0.50809786368776277</v>
      </c>
    </row>
    <row r="709" spans="1:18" x14ac:dyDescent="0.3">
      <c r="A709" s="2">
        <v>705</v>
      </c>
      <c r="B709" s="2">
        <v>1</v>
      </c>
      <c r="C709" s="2">
        <v>18</v>
      </c>
      <c r="D709" s="2">
        <f t="shared" si="119"/>
        <v>324</v>
      </c>
      <c r="E709" s="2">
        <v>71.151600000000002</v>
      </c>
      <c r="F709" s="2">
        <v>164.11539999999999</v>
      </c>
      <c r="G709" s="2">
        <v>0.40736600000000001</v>
      </c>
      <c r="H709" s="2">
        <v>2</v>
      </c>
      <c r="I709" s="3">
        <f t="shared" ref="I709:I772" si="121">(C709-$V$3)/$W$3</f>
        <v>-1.5647611225041334</v>
      </c>
      <c r="J709" s="3">
        <f t="shared" ref="J709:J772" si="122" xml:space="preserve"> (D709- $V$8)/$W$8</f>
        <v>-1.3846556421919931</v>
      </c>
      <c r="K709" s="3">
        <f t="shared" ref="K709:K772" si="123">(E709-$V$4)/$W$4</f>
        <v>-0.36822908828506612</v>
      </c>
      <c r="L709" s="3">
        <f t="shared" ref="L709:L772" si="124">(F709-$V$5)/$W$5</f>
        <v>-1.5811178330652187</v>
      </c>
      <c r="M709" s="3">
        <f t="shared" ref="M709:M772" si="125">(G709-$V$6)/$W$6</f>
        <v>-0.29062392935660142</v>
      </c>
      <c r="N709" s="3">
        <f t="shared" ref="N709:N772" si="126">(H709-$V$7)/$W$7</f>
        <v>-0.86179582596158</v>
      </c>
      <c r="O709" s="3">
        <f t="shared" ref="O709:O772" si="127">$V$11+$V$12*I709+$V$17*J709+$V$13*K709+$V$14*L709+$V$15*M709+$V$16*N709</f>
        <v>0.23128215742101815</v>
      </c>
      <c r="P709" s="3">
        <f t="shared" ref="P709:P772" si="128">1/(1+EXP(-O709))</f>
        <v>0.55756416865665615</v>
      </c>
      <c r="Q709" s="3">
        <f t="shared" ref="Q709:Q772" si="129">B709*LN(P709)+(1-B709)*LN(1-P709)</f>
        <v>-0.58417768154201588</v>
      </c>
      <c r="R709" s="3">
        <f t="shared" si="120"/>
        <v>0.44243583134334385</v>
      </c>
    </row>
    <row r="710" spans="1:18" x14ac:dyDescent="0.3">
      <c r="A710" s="2">
        <v>706</v>
      </c>
      <c r="B710" s="2">
        <v>1</v>
      </c>
      <c r="C710" s="2">
        <v>36</v>
      </c>
      <c r="D710" s="2">
        <f t="shared" ref="D710:D773" si="130">C710^2</f>
        <v>1296</v>
      </c>
      <c r="E710" s="2">
        <v>79.639700000000005</v>
      </c>
      <c r="F710" s="2">
        <v>187.92930000000001</v>
      </c>
      <c r="G710" s="2">
        <v>0.52137699999999998</v>
      </c>
      <c r="H710" s="2">
        <v>2</v>
      </c>
      <c r="I710" s="3">
        <f t="shared" si="121"/>
        <v>1.1882151461963255</v>
      </c>
      <c r="J710" s="3">
        <f t="shared" si="122"/>
        <v>1.2251816929304087</v>
      </c>
      <c r="K710" s="3">
        <f t="shared" si="123"/>
        <v>0.48979418936085478</v>
      </c>
      <c r="L710" s="3">
        <f t="shared" si="124"/>
        <v>0.82702176048441478</v>
      </c>
      <c r="M710" s="3">
        <f t="shared" si="125"/>
        <v>0.10775911363763327</v>
      </c>
      <c r="N710" s="3">
        <f t="shared" si="126"/>
        <v>-0.86179582596158</v>
      </c>
      <c r="O710" s="3">
        <f t="shared" si="127"/>
        <v>3.0328207794624543E-2</v>
      </c>
      <c r="P710" s="3">
        <f t="shared" si="128"/>
        <v>0.50758147083770599</v>
      </c>
      <c r="Q710" s="3">
        <f t="shared" si="129"/>
        <v>-0.67809804727998879</v>
      </c>
      <c r="R710" s="3">
        <f t="shared" ref="R710:R773" si="131">B710-P710</f>
        <v>0.49241852916229401</v>
      </c>
    </row>
    <row r="711" spans="1:18" x14ac:dyDescent="0.3">
      <c r="A711" s="2">
        <v>707</v>
      </c>
      <c r="B711" s="2">
        <v>0</v>
      </c>
      <c r="C711" s="2">
        <v>30</v>
      </c>
      <c r="D711" s="2">
        <f t="shared" si="130"/>
        <v>900</v>
      </c>
      <c r="E711" s="2">
        <v>70.614099999999993</v>
      </c>
      <c r="F711" s="2">
        <v>189.7039</v>
      </c>
      <c r="G711" s="2">
        <v>0.89657500000000001</v>
      </c>
      <c r="H711" s="2">
        <v>2</v>
      </c>
      <c r="I711" s="3">
        <f t="shared" si="121"/>
        <v>0.27055638996283926</v>
      </c>
      <c r="J711" s="3">
        <f t="shared" si="122"/>
        <v>0.16191463047313392</v>
      </c>
      <c r="K711" s="3">
        <f t="shared" si="123"/>
        <v>-0.42256250939635009</v>
      </c>
      <c r="L711" s="3">
        <f t="shared" si="124"/>
        <v>1.0064751269096184</v>
      </c>
      <c r="M711" s="3">
        <f t="shared" si="125"/>
        <v>1.4187950747760403</v>
      </c>
      <c r="N711" s="3">
        <f t="shared" si="126"/>
        <v>-0.86179582596158</v>
      </c>
      <c r="O711" s="3">
        <f t="shared" si="127"/>
        <v>-5.8868386851376915E-2</v>
      </c>
      <c r="P711" s="3">
        <f t="shared" si="128"/>
        <v>0.48528715197369354</v>
      </c>
      <c r="Q711" s="3">
        <f t="shared" si="129"/>
        <v>-0.66414611047001482</v>
      </c>
      <c r="R711" s="3">
        <f t="shared" si="131"/>
        <v>-0.48528715197369354</v>
      </c>
    </row>
    <row r="712" spans="1:18" x14ac:dyDescent="0.3">
      <c r="A712" s="2">
        <v>708</v>
      </c>
      <c r="B712" s="2">
        <v>0</v>
      </c>
      <c r="C712" s="2">
        <v>30</v>
      </c>
      <c r="D712" s="2">
        <f t="shared" si="130"/>
        <v>900</v>
      </c>
      <c r="E712" s="2">
        <v>86.662999999999997</v>
      </c>
      <c r="F712" s="2">
        <v>188.03370000000001</v>
      </c>
      <c r="G712" s="2">
        <v>0.196294</v>
      </c>
      <c r="H712" s="2">
        <v>6</v>
      </c>
      <c r="I712" s="3">
        <f t="shared" si="121"/>
        <v>0.27055638996283926</v>
      </c>
      <c r="J712" s="3">
        <f t="shared" si="122"/>
        <v>0.16191463047313392</v>
      </c>
      <c r="K712" s="3">
        <f t="shared" si="123"/>
        <v>1.1997475223671328</v>
      </c>
      <c r="L712" s="3">
        <f t="shared" si="124"/>
        <v>0.83757903054797334</v>
      </c>
      <c r="M712" s="3">
        <f t="shared" si="125"/>
        <v>-1.0281624620497549</v>
      </c>
      <c r="N712" s="3">
        <f t="shared" si="126"/>
        <v>1.4896252544247224</v>
      </c>
      <c r="O712" s="3">
        <f t="shared" si="127"/>
        <v>0.11478096882470004</v>
      </c>
      <c r="P712" s="3">
        <f t="shared" si="128"/>
        <v>0.52866377945918208</v>
      </c>
      <c r="Q712" s="3">
        <f t="shared" si="129"/>
        <v>-0.75218359559547909</v>
      </c>
      <c r="R712" s="3">
        <f t="shared" si="131"/>
        <v>-0.52866377945918208</v>
      </c>
    </row>
    <row r="713" spans="1:18" x14ac:dyDescent="0.3">
      <c r="A713" s="2">
        <v>709</v>
      </c>
      <c r="B713" s="2">
        <v>1</v>
      </c>
      <c r="C713" s="2">
        <v>21</v>
      </c>
      <c r="D713" s="2">
        <f t="shared" si="130"/>
        <v>441</v>
      </c>
      <c r="E713" s="2">
        <v>80.684399999999997</v>
      </c>
      <c r="F713" s="2">
        <v>180.33330000000001</v>
      </c>
      <c r="G713" s="2">
        <v>2.2565000000000002E-2</v>
      </c>
      <c r="H713" s="2">
        <v>3</v>
      </c>
      <c r="I713" s="3">
        <f t="shared" si="121"/>
        <v>-1.1059317443873902</v>
      </c>
      <c r="J713" s="3">
        <f t="shared" si="122"/>
        <v>-1.0705085555568892</v>
      </c>
      <c r="K713" s="3">
        <f t="shared" si="123"/>
        <v>0.59539814291426318</v>
      </c>
      <c r="L713" s="3">
        <f t="shared" si="124"/>
        <v>5.8889352411692117E-2</v>
      </c>
      <c r="M713" s="3">
        <f t="shared" si="125"/>
        <v>-1.6352151821938237</v>
      </c>
      <c r="N713" s="3">
        <f t="shared" si="126"/>
        <v>-0.27394055586500432</v>
      </c>
      <c r="O713" s="3">
        <f t="shared" si="127"/>
        <v>0.28424420348979756</v>
      </c>
      <c r="P713" s="3">
        <f t="shared" si="128"/>
        <v>0.57058643836933132</v>
      </c>
      <c r="Q713" s="3">
        <f t="shared" si="129"/>
        <v>-0.56109060780146336</v>
      </c>
      <c r="R713" s="3">
        <f t="shared" si="131"/>
        <v>0.42941356163066868</v>
      </c>
    </row>
    <row r="714" spans="1:18" x14ac:dyDescent="0.3">
      <c r="A714" s="2">
        <v>710</v>
      </c>
      <c r="B714" s="2">
        <v>0</v>
      </c>
      <c r="C714" s="2">
        <v>18</v>
      </c>
      <c r="D714" s="2">
        <f t="shared" si="130"/>
        <v>324</v>
      </c>
      <c r="E714" s="2">
        <v>80.995900000000006</v>
      </c>
      <c r="F714" s="2">
        <v>170.43819999999999</v>
      </c>
      <c r="G714" s="2">
        <v>0.86166500000000001</v>
      </c>
      <c r="H714" s="2">
        <v>4</v>
      </c>
      <c r="I714" s="3">
        <f t="shared" si="121"/>
        <v>-1.5647611225041334</v>
      </c>
      <c r="J714" s="3">
        <f t="shared" si="122"/>
        <v>-1.3846556421919931</v>
      </c>
      <c r="K714" s="3">
        <f t="shared" si="123"/>
        <v>0.626886255800152</v>
      </c>
      <c r="L714" s="3">
        <f t="shared" si="124"/>
        <v>-0.9417355805952069</v>
      </c>
      <c r="M714" s="3">
        <f t="shared" si="125"/>
        <v>1.2968107747442124</v>
      </c>
      <c r="N714" s="3">
        <f t="shared" si="126"/>
        <v>0.31391471423157125</v>
      </c>
      <c r="O714" s="3">
        <f t="shared" si="127"/>
        <v>0.22747920349550554</v>
      </c>
      <c r="P714" s="3">
        <f t="shared" si="128"/>
        <v>0.55662582748584</v>
      </c>
      <c r="Q714" s="3">
        <f t="shared" si="129"/>
        <v>-0.81334123222409893</v>
      </c>
      <c r="R714" s="3">
        <f t="shared" si="131"/>
        <v>-0.55662582748584</v>
      </c>
    </row>
    <row r="715" spans="1:18" x14ac:dyDescent="0.3">
      <c r="A715" s="2">
        <v>711</v>
      </c>
      <c r="B715" s="2">
        <v>1</v>
      </c>
      <c r="C715" s="2">
        <v>34</v>
      </c>
      <c r="D715" s="2">
        <f t="shared" si="130"/>
        <v>1156</v>
      </c>
      <c r="E715" s="2">
        <v>69.928799999999995</v>
      </c>
      <c r="F715" s="2">
        <v>156.90819999999999</v>
      </c>
      <c r="G715" s="2">
        <v>0.57711699999999999</v>
      </c>
      <c r="H715" s="2">
        <v>3</v>
      </c>
      <c r="I715" s="3">
        <f t="shared" si="121"/>
        <v>0.8823288941184968</v>
      </c>
      <c r="J715" s="3">
        <f t="shared" si="122"/>
        <v>0.84927919610207925</v>
      </c>
      <c r="K715" s="3">
        <f t="shared" si="123"/>
        <v>-0.4918363577453031</v>
      </c>
      <c r="L715" s="3">
        <f t="shared" si="124"/>
        <v>-2.3099335112460668</v>
      </c>
      <c r="M715" s="3">
        <f t="shared" si="125"/>
        <v>0.3025286605804603</v>
      </c>
      <c r="N715" s="3">
        <f t="shared" si="126"/>
        <v>-0.27394055586500432</v>
      </c>
      <c r="O715" s="3">
        <f t="shared" si="127"/>
        <v>-0.12432148056887582</v>
      </c>
      <c r="P715" s="3">
        <f t="shared" si="128"/>
        <v>0.46895959916085289</v>
      </c>
      <c r="Q715" s="3">
        <f t="shared" si="129"/>
        <v>-0.75723865676051005</v>
      </c>
      <c r="R715" s="3">
        <f t="shared" si="131"/>
        <v>0.53104040083914716</v>
      </c>
    </row>
    <row r="716" spans="1:18" x14ac:dyDescent="0.3">
      <c r="A716" s="2">
        <v>712</v>
      </c>
      <c r="B716" s="2">
        <v>0</v>
      </c>
      <c r="C716" s="2">
        <v>25</v>
      </c>
      <c r="D716" s="2">
        <f t="shared" si="130"/>
        <v>625</v>
      </c>
      <c r="E716" s="2">
        <v>72.636499999999998</v>
      </c>
      <c r="F716" s="2">
        <v>181.57050000000001</v>
      </c>
      <c r="G716" s="2">
        <v>0.89065799999999995</v>
      </c>
      <c r="H716" s="2">
        <v>5</v>
      </c>
      <c r="I716" s="3">
        <f t="shared" si="121"/>
        <v>-0.49415924023173263</v>
      </c>
      <c r="J716" s="3">
        <f t="shared" si="122"/>
        <v>-0.57646527401108472</v>
      </c>
      <c r="K716" s="3">
        <f t="shared" si="123"/>
        <v>-0.21812732640944918</v>
      </c>
      <c r="L716" s="3">
        <f t="shared" si="124"/>
        <v>0.18399907006145161</v>
      </c>
      <c r="M716" s="3">
        <f t="shared" si="125"/>
        <v>1.3981195920121234</v>
      </c>
      <c r="N716" s="3">
        <f t="shared" si="126"/>
        <v>0.90176998432814681</v>
      </c>
      <c r="O716" s="3">
        <f t="shared" si="127"/>
        <v>-1.1309579338711254E-2</v>
      </c>
      <c r="P716" s="3">
        <f t="shared" si="128"/>
        <v>0.49717263530180489</v>
      </c>
      <c r="Q716" s="3">
        <f t="shared" si="129"/>
        <v>-0.68750837912848406</v>
      </c>
      <c r="R716" s="3">
        <f t="shared" si="131"/>
        <v>-0.49717263530180489</v>
      </c>
    </row>
    <row r="717" spans="1:18" x14ac:dyDescent="0.3">
      <c r="A717" s="2">
        <v>713</v>
      </c>
      <c r="B717" s="2">
        <v>0</v>
      </c>
      <c r="C717" s="2">
        <v>19</v>
      </c>
      <c r="D717" s="2">
        <f t="shared" si="130"/>
        <v>361</v>
      </c>
      <c r="E717" s="2">
        <v>63.120899999999999</v>
      </c>
      <c r="F717" s="2">
        <v>190.8194</v>
      </c>
      <c r="G717" s="2">
        <v>0.59694499999999995</v>
      </c>
      <c r="H717" s="2">
        <v>1</v>
      </c>
      <c r="I717" s="3">
        <f t="shared" si="121"/>
        <v>-1.4118179964652189</v>
      </c>
      <c r="J717" s="3">
        <f t="shared" si="122"/>
        <v>-1.2853099823159346</v>
      </c>
      <c r="K717" s="3">
        <f t="shared" si="123"/>
        <v>-1.1800158881332179</v>
      </c>
      <c r="L717" s="3">
        <f t="shared" si="124"/>
        <v>1.1192781418128728</v>
      </c>
      <c r="M717" s="3">
        <f t="shared" si="125"/>
        <v>0.3718126680577184</v>
      </c>
      <c r="N717" s="3">
        <f t="shared" si="126"/>
        <v>-1.4496510960581555</v>
      </c>
      <c r="O717" s="3">
        <f t="shared" si="127"/>
        <v>0.18618021179521693</v>
      </c>
      <c r="P717" s="3">
        <f t="shared" si="128"/>
        <v>0.54641106782263116</v>
      </c>
      <c r="Q717" s="3">
        <f t="shared" si="129"/>
        <v>-0.7905639268279876</v>
      </c>
      <c r="R717" s="3">
        <f t="shared" si="131"/>
        <v>-0.54641106782263116</v>
      </c>
    </row>
    <row r="718" spans="1:18" x14ac:dyDescent="0.3">
      <c r="A718" s="2">
        <v>714</v>
      </c>
      <c r="B718" s="2">
        <v>1</v>
      </c>
      <c r="C718" s="2">
        <v>25</v>
      </c>
      <c r="D718" s="2">
        <f t="shared" si="130"/>
        <v>625</v>
      </c>
      <c r="E718" s="2">
        <v>71.469800000000006</v>
      </c>
      <c r="F718" s="2">
        <v>189.95529999999999</v>
      </c>
      <c r="G718" s="2">
        <v>0.81016100000000002</v>
      </c>
      <c r="H718" s="2">
        <v>4</v>
      </c>
      <c r="I718" s="3">
        <f t="shared" si="121"/>
        <v>-0.49415924023173263</v>
      </c>
      <c r="J718" s="3">
        <f t="shared" si="122"/>
        <v>-0.57646527401108472</v>
      </c>
      <c r="K718" s="3">
        <f t="shared" si="123"/>
        <v>-0.33606370298718602</v>
      </c>
      <c r="L718" s="3">
        <f t="shared" si="124"/>
        <v>1.0318975186143939</v>
      </c>
      <c r="M718" s="3">
        <f t="shared" si="125"/>
        <v>1.1168428747488166</v>
      </c>
      <c r="N718" s="3">
        <f t="shared" si="126"/>
        <v>0.31391471423157125</v>
      </c>
      <c r="O718" s="3">
        <f t="shared" si="127"/>
        <v>2.0763436222896788E-2</v>
      </c>
      <c r="P718" s="3">
        <f t="shared" si="128"/>
        <v>0.50519067257337802</v>
      </c>
      <c r="Q718" s="3">
        <f t="shared" si="129"/>
        <v>-0.6828193515159523</v>
      </c>
      <c r="R718" s="3">
        <f t="shared" si="131"/>
        <v>0.49480932742662198</v>
      </c>
    </row>
    <row r="719" spans="1:18" x14ac:dyDescent="0.3">
      <c r="A719" s="2">
        <v>715</v>
      </c>
      <c r="B719" s="2">
        <v>0</v>
      </c>
      <c r="C719" s="2">
        <v>24</v>
      </c>
      <c r="D719" s="2">
        <f t="shared" si="130"/>
        <v>576</v>
      </c>
      <c r="E719" s="2">
        <v>64.634200000000007</v>
      </c>
      <c r="F719" s="2">
        <v>188.16069999999999</v>
      </c>
      <c r="G719" s="2">
        <v>0.42967300000000003</v>
      </c>
      <c r="H719" s="2">
        <v>1</v>
      </c>
      <c r="I719" s="3">
        <f t="shared" si="121"/>
        <v>-0.64710236627064699</v>
      </c>
      <c r="J719" s="3">
        <f t="shared" si="122"/>
        <v>-0.70803114790099997</v>
      </c>
      <c r="K719" s="3">
        <f t="shared" si="123"/>
        <v>-1.0270432999142316</v>
      </c>
      <c r="L719" s="3">
        <f t="shared" si="124"/>
        <v>0.8504216866597718</v>
      </c>
      <c r="M719" s="3">
        <f t="shared" si="125"/>
        <v>-0.21267767381921993</v>
      </c>
      <c r="N719" s="3">
        <f t="shared" si="126"/>
        <v>-1.4496510960581555</v>
      </c>
      <c r="O719" s="3">
        <f t="shared" si="127"/>
        <v>7.411806172694009E-2</v>
      </c>
      <c r="P719" s="3">
        <f t="shared" si="128"/>
        <v>0.51852103745127931</v>
      </c>
      <c r="Q719" s="3">
        <f t="shared" si="129"/>
        <v>-0.73089274018605743</v>
      </c>
      <c r="R719" s="3">
        <f t="shared" si="131"/>
        <v>-0.51852103745127931</v>
      </c>
    </row>
    <row r="720" spans="1:18" x14ac:dyDescent="0.3">
      <c r="A720" s="2">
        <v>716</v>
      </c>
      <c r="B720" s="2">
        <v>0</v>
      </c>
      <c r="C720" s="2">
        <v>19</v>
      </c>
      <c r="D720" s="2">
        <f t="shared" si="130"/>
        <v>361</v>
      </c>
      <c r="E720" s="2">
        <v>88.130700000000004</v>
      </c>
      <c r="F720" s="2">
        <v>179.25790000000001</v>
      </c>
      <c r="G720" s="2">
        <v>0.74985999999999997</v>
      </c>
      <c r="H720" s="2">
        <v>6</v>
      </c>
      <c r="I720" s="3">
        <f t="shared" si="121"/>
        <v>-1.4118179964652189</v>
      </c>
      <c r="J720" s="3">
        <f t="shared" si="122"/>
        <v>-1.2853099823159346</v>
      </c>
      <c r="K720" s="3">
        <f t="shared" si="123"/>
        <v>1.3481106147671897</v>
      </c>
      <c r="L720" s="3">
        <f t="shared" si="124"/>
        <v>-4.9858619105080798E-2</v>
      </c>
      <c r="M720" s="3">
        <f t="shared" si="125"/>
        <v>0.90613604930569813</v>
      </c>
      <c r="N720" s="3">
        <f t="shared" si="126"/>
        <v>1.4896252544247224</v>
      </c>
      <c r="O720" s="3">
        <f t="shared" si="127"/>
        <v>0.26112656139632723</v>
      </c>
      <c r="P720" s="3">
        <f t="shared" si="128"/>
        <v>0.56491320535410361</v>
      </c>
      <c r="Q720" s="3">
        <f t="shared" si="129"/>
        <v>-0.83220973987490032</v>
      </c>
      <c r="R720" s="3">
        <f t="shared" si="131"/>
        <v>-0.56491320535410361</v>
      </c>
    </row>
    <row r="721" spans="1:18" x14ac:dyDescent="0.3">
      <c r="A721" s="2">
        <v>717</v>
      </c>
      <c r="B721" s="2">
        <v>1</v>
      </c>
      <c r="C721" s="2">
        <v>39</v>
      </c>
      <c r="D721" s="2">
        <f t="shared" si="130"/>
        <v>1521</v>
      </c>
      <c r="E721" s="2">
        <v>75.505399999999995</v>
      </c>
      <c r="F721" s="2">
        <v>190.87459999999999</v>
      </c>
      <c r="G721" s="2">
        <v>0.91304099999999999</v>
      </c>
      <c r="H721" s="2">
        <v>5</v>
      </c>
      <c r="I721" s="3">
        <f t="shared" si="121"/>
        <v>1.6470445243130687</v>
      </c>
      <c r="J721" s="3">
        <f t="shared" si="122"/>
        <v>1.829310705690224</v>
      </c>
      <c r="K721" s="3">
        <f t="shared" si="123"/>
        <v>7.1876676988057761E-2</v>
      </c>
      <c r="L721" s="3">
        <f t="shared" si="124"/>
        <v>1.1248601466740633</v>
      </c>
      <c r="M721" s="3">
        <f t="shared" si="125"/>
        <v>1.4763314106203278</v>
      </c>
      <c r="N721" s="3">
        <f t="shared" si="126"/>
        <v>0.90176998432814681</v>
      </c>
      <c r="O721" s="3">
        <f t="shared" si="127"/>
        <v>-5.5316970349443217E-2</v>
      </c>
      <c r="P721" s="3">
        <f t="shared" si="128"/>
        <v>0.48617428275297037</v>
      </c>
      <c r="Q721" s="3">
        <f t="shared" si="129"/>
        <v>-0.72118811287798845</v>
      </c>
      <c r="R721" s="3">
        <f t="shared" si="131"/>
        <v>0.51382571724702963</v>
      </c>
    </row>
    <row r="722" spans="1:18" x14ac:dyDescent="0.3">
      <c r="A722" s="2">
        <v>718</v>
      </c>
      <c r="B722" s="2">
        <v>1</v>
      </c>
      <c r="C722" s="2">
        <v>39</v>
      </c>
      <c r="D722" s="2">
        <f t="shared" si="130"/>
        <v>1521</v>
      </c>
      <c r="E722" s="2">
        <v>76.704999999999998</v>
      </c>
      <c r="F722" s="2">
        <v>189.24160000000001</v>
      </c>
      <c r="G722" s="2">
        <v>0.57212300000000005</v>
      </c>
      <c r="H722" s="2">
        <v>6</v>
      </c>
      <c r="I722" s="3">
        <f t="shared" si="121"/>
        <v>1.6470445243130687</v>
      </c>
      <c r="J722" s="3">
        <f t="shared" si="122"/>
        <v>1.829310705690224</v>
      </c>
      <c r="K722" s="3">
        <f t="shared" si="123"/>
        <v>0.19313876436497954</v>
      </c>
      <c r="L722" s="3">
        <f t="shared" si="124"/>
        <v>0.9597258361971357</v>
      </c>
      <c r="M722" s="3">
        <f t="shared" si="125"/>
        <v>0.28507837142666648</v>
      </c>
      <c r="N722" s="3">
        <f t="shared" si="126"/>
        <v>1.4896252544247224</v>
      </c>
      <c r="O722" s="3">
        <f t="shared" si="127"/>
        <v>-8.7632999916600948E-3</v>
      </c>
      <c r="P722" s="3">
        <f t="shared" si="128"/>
        <v>0.49780918902242238</v>
      </c>
      <c r="Q722" s="3">
        <f t="shared" si="129"/>
        <v>-0.69753842995340209</v>
      </c>
      <c r="R722" s="3">
        <f t="shared" si="131"/>
        <v>0.50219081097757767</v>
      </c>
    </row>
    <row r="723" spans="1:18" x14ac:dyDescent="0.3">
      <c r="A723" s="2">
        <v>719</v>
      </c>
      <c r="B723" s="2">
        <v>0</v>
      </c>
      <c r="C723" s="2">
        <v>20</v>
      </c>
      <c r="D723" s="2">
        <f t="shared" si="130"/>
        <v>400</v>
      </c>
      <c r="E723" s="2">
        <v>72.748500000000007</v>
      </c>
      <c r="F723" s="2">
        <v>175.77369999999999</v>
      </c>
      <c r="G723" s="2">
        <v>0.180785</v>
      </c>
      <c r="H723" s="2">
        <v>5</v>
      </c>
      <c r="I723" s="3">
        <f t="shared" si="121"/>
        <v>-1.2588748704263044</v>
      </c>
      <c r="J723" s="3">
        <f t="shared" si="122"/>
        <v>-1.1805942867708998</v>
      </c>
      <c r="K723" s="3">
        <f t="shared" si="123"/>
        <v>-0.20680575773137624</v>
      </c>
      <c r="L723" s="3">
        <f t="shared" si="124"/>
        <v>-0.40219233898488477</v>
      </c>
      <c r="M723" s="3">
        <f t="shared" si="125"/>
        <v>-1.082354799752236</v>
      </c>
      <c r="N723" s="3">
        <f t="shared" si="126"/>
        <v>0.90176998432814681</v>
      </c>
      <c r="O723" s="3">
        <f t="shared" si="127"/>
        <v>0.21133944682742115</v>
      </c>
      <c r="P723" s="3">
        <f t="shared" si="128"/>
        <v>0.55263908314465693</v>
      </c>
      <c r="Q723" s="3">
        <f t="shared" si="129"/>
        <v>-0.80438958989891296</v>
      </c>
      <c r="R723" s="3">
        <f t="shared" si="131"/>
        <v>-0.55263908314465693</v>
      </c>
    </row>
    <row r="724" spans="1:18" x14ac:dyDescent="0.3">
      <c r="A724" s="2">
        <v>720</v>
      </c>
      <c r="B724" s="2">
        <v>1</v>
      </c>
      <c r="C724" s="2">
        <v>35</v>
      </c>
      <c r="D724" s="2">
        <f t="shared" si="130"/>
        <v>1225</v>
      </c>
      <c r="E724" s="2">
        <v>76.975800000000007</v>
      </c>
      <c r="F724" s="2">
        <v>186.76599999999999</v>
      </c>
      <c r="G724" s="2">
        <v>0.26879799999999998</v>
      </c>
      <c r="H724" s="2">
        <v>1</v>
      </c>
      <c r="I724" s="3">
        <f t="shared" si="121"/>
        <v>1.0352720201574113</v>
      </c>
      <c r="J724" s="3">
        <f t="shared" si="122"/>
        <v>1.034545426681756</v>
      </c>
      <c r="K724" s="3">
        <f t="shared" si="123"/>
        <v>0.22051270006160451</v>
      </c>
      <c r="L724" s="3">
        <f t="shared" si="124"/>
        <v>0.70938505296585053</v>
      </c>
      <c r="M724" s="3">
        <f t="shared" si="125"/>
        <v>-0.77481529248494108</v>
      </c>
      <c r="N724" s="3">
        <f t="shared" si="126"/>
        <v>-1.4496510960581555</v>
      </c>
      <c r="O724" s="3">
        <f t="shared" si="127"/>
        <v>5.4037209756505632E-2</v>
      </c>
      <c r="P724" s="3">
        <f t="shared" si="128"/>
        <v>0.51350601611258495</v>
      </c>
      <c r="Q724" s="3">
        <f t="shared" si="129"/>
        <v>-0.66649353378617626</v>
      </c>
      <c r="R724" s="3">
        <f t="shared" si="131"/>
        <v>0.48649398388741505</v>
      </c>
    </row>
    <row r="725" spans="1:18" x14ac:dyDescent="0.3">
      <c r="A725" s="2">
        <v>721</v>
      </c>
      <c r="B725" s="2">
        <v>0</v>
      </c>
      <c r="C725" s="2">
        <v>29</v>
      </c>
      <c r="D725" s="2">
        <f t="shared" si="130"/>
        <v>841</v>
      </c>
      <c r="E725" s="2">
        <v>99.648799999999994</v>
      </c>
      <c r="F725" s="2">
        <v>174.6404</v>
      </c>
      <c r="G725" s="2">
        <v>0.19864499999999999</v>
      </c>
      <c r="H725" s="2">
        <v>1</v>
      </c>
      <c r="I725" s="3">
        <f t="shared" si="121"/>
        <v>0.1176132639239249</v>
      </c>
      <c r="J725" s="3">
        <f t="shared" si="122"/>
        <v>3.4985782383379449E-3</v>
      </c>
      <c r="K725" s="3">
        <f t="shared" si="123"/>
        <v>2.5124227593288078</v>
      </c>
      <c r="L725" s="3">
        <f t="shared" si="124"/>
        <v>-0.51679534820931994</v>
      </c>
      <c r="M725" s="3">
        <f t="shared" si="125"/>
        <v>-1.019947478108912</v>
      </c>
      <c r="N725" s="3">
        <f t="shared" si="126"/>
        <v>-1.4496510960581555</v>
      </c>
      <c r="O725" s="3">
        <f t="shared" si="127"/>
        <v>0.22121951995323957</v>
      </c>
      <c r="P725" s="3">
        <f t="shared" si="128"/>
        <v>0.55508043544439301</v>
      </c>
      <c r="Q725" s="3">
        <f t="shared" si="129"/>
        <v>-0.80986176696145984</v>
      </c>
      <c r="R725" s="3">
        <f t="shared" si="131"/>
        <v>-0.55508043544439301</v>
      </c>
    </row>
    <row r="726" spans="1:18" x14ac:dyDescent="0.3">
      <c r="A726" s="2">
        <v>722</v>
      </c>
      <c r="B726" s="2">
        <v>1</v>
      </c>
      <c r="C726" s="2">
        <v>18</v>
      </c>
      <c r="D726" s="2">
        <f t="shared" si="130"/>
        <v>324</v>
      </c>
      <c r="E726" s="2">
        <v>71.998599999999996</v>
      </c>
      <c r="F726" s="2">
        <v>185.40020000000001</v>
      </c>
      <c r="G726" s="2">
        <v>0.24685699999999999</v>
      </c>
      <c r="H726" s="2">
        <v>1</v>
      </c>
      <c r="I726" s="3">
        <f t="shared" si="121"/>
        <v>-1.5647611225041334</v>
      </c>
      <c r="J726" s="3">
        <f t="shared" si="122"/>
        <v>-1.3846556421919931</v>
      </c>
      <c r="K726" s="3">
        <f t="shared" si="123"/>
        <v>-0.28260972515714705</v>
      </c>
      <c r="L726" s="3">
        <f t="shared" si="124"/>
        <v>0.57127088196193954</v>
      </c>
      <c r="M726" s="3">
        <f t="shared" si="125"/>
        <v>-0.85148265218125552</v>
      </c>
      <c r="N726" s="3">
        <f t="shared" si="126"/>
        <v>-1.4496510960581555</v>
      </c>
      <c r="O726" s="3">
        <f t="shared" si="127"/>
        <v>0.31881854149770916</v>
      </c>
      <c r="P726" s="3">
        <f t="shared" si="128"/>
        <v>0.57903629470480955</v>
      </c>
      <c r="Q726" s="3">
        <f t="shared" si="129"/>
        <v>-0.54639011821866257</v>
      </c>
      <c r="R726" s="3">
        <f t="shared" si="131"/>
        <v>0.42096370529519045</v>
      </c>
    </row>
    <row r="727" spans="1:18" x14ac:dyDescent="0.3">
      <c r="A727" s="2">
        <v>723</v>
      </c>
      <c r="B727" s="2">
        <v>0</v>
      </c>
      <c r="C727" s="2">
        <v>39</v>
      </c>
      <c r="D727" s="2">
        <f t="shared" si="130"/>
        <v>1521</v>
      </c>
      <c r="E727" s="2">
        <v>68.495900000000006</v>
      </c>
      <c r="F727" s="2">
        <v>167.00880000000001</v>
      </c>
      <c r="G727" s="2">
        <v>0.30641499999999999</v>
      </c>
      <c r="H727" s="2">
        <v>5</v>
      </c>
      <c r="I727" s="3">
        <f t="shared" si="121"/>
        <v>1.6470445243130687</v>
      </c>
      <c r="J727" s="3">
        <f t="shared" si="122"/>
        <v>1.829310705690224</v>
      </c>
      <c r="K727" s="3">
        <f t="shared" si="123"/>
        <v>-0.63668167702038592</v>
      </c>
      <c r="L727" s="3">
        <f t="shared" si="124"/>
        <v>-1.2885277449244044</v>
      </c>
      <c r="M727" s="3">
        <f t="shared" si="125"/>
        <v>-0.64337205518052198</v>
      </c>
      <c r="N727" s="3">
        <f t="shared" si="126"/>
        <v>0.90176998432814681</v>
      </c>
      <c r="O727" s="3">
        <f t="shared" si="127"/>
        <v>-6.7619543198615517E-2</v>
      </c>
      <c r="P727" s="3">
        <f t="shared" si="128"/>
        <v>0.48310155258515353</v>
      </c>
      <c r="Q727" s="3">
        <f t="shared" si="129"/>
        <v>-0.65990885043169156</v>
      </c>
      <c r="R727" s="3">
        <f t="shared" si="131"/>
        <v>-0.48310155258515353</v>
      </c>
    </row>
    <row r="728" spans="1:18" x14ac:dyDescent="0.3">
      <c r="A728" s="2">
        <v>724</v>
      </c>
      <c r="B728" s="2">
        <v>0</v>
      </c>
      <c r="C728" s="2">
        <v>29</v>
      </c>
      <c r="D728" s="2">
        <f t="shared" si="130"/>
        <v>841</v>
      </c>
      <c r="E728" s="2">
        <v>80.296899999999994</v>
      </c>
      <c r="F728" s="2">
        <v>167.77789999999999</v>
      </c>
      <c r="G728" s="2">
        <v>0.55513400000000002</v>
      </c>
      <c r="H728" s="2">
        <v>2</v>
      </c>
      <c r="I728" s="3">
        <f t="shared" si="121"/>
        <v>0.1176132639239249</v>
      </c>
      <c r="J728" s="3">
        <f t="shared" si="122"/>
        <v>3.4985782383379449E-3</v>
      </c>
      <c r="K728" s="3">
        <f t="shared" si="123"/>
        <v>0.55622753699682626</v>
      </c>
      <c r="L728" s="3">
        <f t="shared" si="124"/>
        <v>-1.2107538329906609</v>
      </c>
      <c r="M728" s="3">
        <f t="shared" si="125"/>
        <v>0.22571454234500712</v>
      </c>
      <c r="N728" s="3">
        <f t="shared" si="126"/>
        <v>-0.86179582596158</v>
      </c>
      <c r="O728" s="3">
        <f t="shared" si="127"/>
        <v>1.5750031669016385E-2</v>
      </c>
      <c r="P728" s="3">
        <f t="shared" si="128"/>
        <v>0.50393742652327433</v>
      </c>
      <c r="Q728" s="3">
        <f t="shared" si="129"/>
        <v>-0.70105320401115823</v>
      </c>
      <c r="R728" s="3">
        <f t="shared" si="131"/>
        <v>-0.50393742652327433</v>
      </c>
    </row>
    <row r="729" spans="1:18" x14ac:dyDescent="0.3">
      <c r="A729" s="2">
        <v>725</v>
      </c>
      <c r="B729" s="2">
        <v>1</v>
      </c>
      <c r="C729" s="2">
        <v>22</v>
      </c>
      <c r="D729" s="2">
        <f t="shared" si="130"/>
        <v>484</v>
      </c>
      <c r="E729" s="2">
        <v>49.742800000000003</v>
      </c>
      <c r="F729" s="2">
        <v>190.5821</v>
      </c>
      <c r="G729" s="2">
        <v>0.58799199999999996</v>
      </c>
      <c r="H729" s="2">
        <v>1</v>
      </c>
      <c r="I729" s="3">
        <f t="shared" si="121"/>
        <v>-0.9529886183484757</v>
      </c>
      <c r="J729" s="3">
        <f t="shared" si="122"/>
        <v>-0.9550527886739022</v>
      </c>
      <c r="K729" s="3">
        <f t="shared" si="123"/>
        <v>-2.5323469410985324</v>
      </c>
      <c r="L729" s="3">
        <f t="shared" si="124"/>
        <v>1.0952815883063349</v>
      </c>
      <c r="M729" s="3">
        <f t="shared" si="125"/>
        <v>0.34052863946462314</v>
      </c>
      <c r="N729" s="3">
        <f t="shared" si="126"/>
        <v>-1.4496510960581555</v>
      </c>
      <c r="O729" s="3">
        <f t="shared" si="127"/>
        <v>7.4994346686902708E-3</v>
      </c>
      <c r="P729" s="3">
        <f t="shared" si="128"/>
        <v>0.50187484988014675</v>
      </c>
      <c r="Q729" s="3">
        <f t="shared" si="129"/>
        <v>-0.68940449339916965</v>
      </c>
      <c r="R729" s="3">
        <f t="shared" si="131"/>
        <v>0.49812515011985325</v>
      </c>
    </row>
    <row r="730" spans="1:18" x14ac:dyDescent="0.3">
      <c r="A730" s="2">
        <v>726</v>
      </c>
      <c r="B730" s="2">
        <v>0</v>
      </c>
      <c r="C730" s="2">
        <v>34</v>
      </c>
      <c r="D730" s="2">
        <f t="shared" si="130"/>
        <v>1156</v>
      </c>
      <c r="E730" s="2">
        <v>75.639600000000002</v>
      </c>
      <c r="F730" s="2">
        <v>189.37559999999999</v>
      </c>
      <c r="G730" s="2">
        <v>0.42649999999999999</v>
      </c>
      <c r="H730" s="2">
        <v>6</v>
      </c>
      <c r="I730" s="3">
        <f t="shared" si="121"/>
        <v>0.8823288941184968</v>
      </c>
      <c r="J730" s="3">
        <f t="shared" si="122"/>
        <v>0.84927919610207925</v>
      </c>
      <c r="K730" s="3">
        <f t="shared" si="123"/>
        <v>8.5442342314819772E-2</v>
      </c>
      <c r="L730" s="3">
        <f t="shared" si="124"/>
        <v>0.97327635524423084</v>
      </c>
      <c r="M730" s="3">
        <f t="shared" si="125"/>
        <v>-0.22376493202606593</v>
      </c>
      <c r="N730" s="3">
        <f t="shared" si="126"/>
        <v>1.4896252544247224</v>
      </c>
      <c r="O730" s="3">
        <f t="shared" si="127"/>
        <v>-1.2600337216901651E-2</v>
      </c>
      <c r="P730" s="3">
        <f t="shared" si="128"/>
        <v>0.49684995737295906</v>
      </c>
      <c r="Q730" s="3">
        <f t="shared" si="129"/>
        <v>-0.68686685788245461</v>
      </c>
      <c r="R730" s="3">
        <f t="shared" si="131"/>
        <v>-0.49684995737295906</v>
      </c>
    </row>
    <row r="731" spans="1:18" x14ac:dyDescent="0.3">
      <c r="A731" s="2">
        <v>727</v>
      </c>
      <c r="B731" s="2">
        <v>0</v>
      </c>
      <c r="C731" s="2">
        <v>33</v>
      </c>
      <c r="D731" s="2">
        <f t="shared" si="130"/>
        <v>1089</v>
      </c>
      <c r="E731" s="2">
        <v>71.282899999999998</v>
      </c>
      <c r="F731" s="2">
        <v>186.33609999999999</v>
      </c>
      <c r="G731" s="2">
        <v>0.615421</v>
      </c>
      <c r="H731" s="2">
        <v>4</v>
      </c>
      <c r="I731" s="3">
        <f t="shared" si="121"/>
        <v>0.72938576807958244</v>
      </c>
      <c r="J731" s="3">
        <f t="shared" si="122"/>
        <v>0.66938300119137872</v>
      </c>
      <c r="K731" s="3">
        <f t="shared" si="123"/>
        <v>-0.35495657071871961</v>
      </c>
      <c r="L731" s="3">
        <f t="shared" si="124"/>
        <v>0.66591215641102353</v>
      </c>
      <c r="M731" s="3">
        <f t="shared" si="125"/>
        <v>0.43637244827507898</v>
      </c>
      <c r="N731" s="3">
        <f t="shared" si="126"/>
        <v>0.31391471423157125</v>
      </c>
      <c r="O731" s="3">
        <f t="shared" si="127"/>
        <v>-5.7624669019318606E-2</v>
      </c>
      <c r="P731" s="3">
        <f t="shared" si="128"/>
        <v>0.48559781785143918</v>
      </c>
      <c r="Q731" s="3">
        <f t="shared" si="129"/>
        <v>-0.66474986394377333</v>
      </c>
      <c r="R731" s="3">
        <f t="shared" si="131"/>
        <v>-0.48559781785143918</v>
      </c>
    </row>
    <row r="732" spans="1:18" x14ac:dyDescent="0.3">
      <c r="A732" s="2">
        <v>728</v>
      </c>
      <c r="B732" s="2">
        <v>1</v>
      </c>
      <c r="C732" s="2">
        <v>32</v>
      </c>
      <c r="D732" s="2">
        <f t="shared" si="130"/>
        <v>1024</v>
      </c>
      <c r="E732" s="2">
        <v>65.076899999999995</v>
      </c>
      <c r="F732" s="2">
        <v>180.87970000000001</v>
      </c>
      <c r="G732" s="2">
        <v>8.1574999999999995E-2</v>
      </c>
      <c r="H732" s="2">
        <v>5</v>
      </c>
      <c r="I732" s="3">
        <f t="shared" si="121"/>
        <v>0.57644264204066809</v>
      </c>
      <c r="J732" s="3">
        <f t="shared" si="122"/>
        <v>0.49485684194965435</v>
      </c>
      <c r="K732" s="3">
        <f t="shared" si="123"/>
        <v>-0.98229277800546055</v>
      </c>
      <c r="L732" s="3">
        <f t="shared" si="124"/>
        <v>0.11414311067537559</v>
      </c>
      <c r="M732" s="3">
        <f t="shared" si="125"/>
        <v>-1.4290194347037586</v>
      </c>
      <c r="N732" s="3">
        <f t="shared" si="126"/>
        <v>0.90176998432814681</v>
      </c>
      <c r="O732" s="3">
        <f t="shared" si="127"/>
        <v>-3.5699756344866766E-2</v>
      </c>
      <c r="P732" s="3">
        <f t="shared" si="128"/>
        <v>0.49107600867552298</v>
      </c>
      <c r="Q732" s="3">
        <f t="shared" si="129"/>
        <v>-0.71115635934868893</v>
      </c>
      <c r="R732" s="3">
        <f t="shared" si="131"/>
        <v>0.50892399132447697</v>
      </c>
    </row>
    <row r="733" spans="1:18" x14ac:dyDescent="0.3">
      <c r="A733" s="2">
        <v>729</v>
      </c>
      <c r="B733" s="2">
        <v>1</v>
      </c>
      <c r="C733" s="2">
        <v>32</v>
      </c>
      <c r="D733" s="2">
        <f t="shared" si="130"/>
        <v>1024</v>
      </c>
      <c r="E733" s="2">
        <v>80.077600000000004</v>
      </c>
      <c r="F733" s="2">
        <v>156.0873</v>
      </c>
      <c r="G733" s="2">
        <v>8.7788000000000005E-2</v>
      </c>
      <c r="H733" s="2">
        <v>6</v>
      </c>
      <c r="I733" s="3">
        <f t="shared" si="121"/>
        <v>0.57644264204066809</v>
      </c>
      <c r="J733" s="3">
        <f t="shared" si="122"/>
        <v>0.49485684194965435</v>
      </c>
      <c r="K733" s="3">
        <f t="shared" si="123"/>
        <v>0.53405950118342382</v>
      </c>
      <c r="L733" s="3">
        <f t="shared" si="124"/>
        <v>-2.3929456089010031</v>
      </c>
      <c r="M733" s="3">
        <f t="shared" si="125"/>
        <v>-1.4073096536640064</v>
      </c>
      <c r="N733" s="3">
        <f t="shared" si="126"/>
        <v>1.4896252544247224</v>
      </c>
      <c r="O733" s="3">
        <f t="shared" si="127"/>
        <v>-3.5200055141161417E-3</v>
      </c>
      <c r="P733" s="3">
        <f t="shared" si="128"/>
        <v>0.4991199995301035</v>
      </c>
      <c r="Q733" s="3">
        <f t="shared" si="129"/>
        <v>-0.69490873212105608</v>
      </c>
      <c r="R733" s="3">
        <f t="shared" si="131"/>
        <v>0.50088000046989656</v>
      </c>
    </row>
    <row r="734" spans="1:18" x14ac:dyDescent="0.3">
      <c r="A734" s="2">
        <v>730</v>
      </c>
      <c r="B734" s="2">
        <v>0</v>
      </c>
      <c r="C734" s="2">
        <v>22</v>
      </c>
      <c r="D734" s="2">
        <f t="shared" si="130"/>
        <v>484</v>
      </c>
      <c r="E734" s="2">
        <v>75.539900000000003</v>
      </c>
      <c r="F734" s="2">
        <v>179.25120000000001</v>
      </c>
      <c r="G734" s="2">
        <v>0.17182900000000001</v>
      </c>
      <c r="H734" s="2">
        <v>3</v>
      </c>
      <c r="I734" s="3">
        <f t="shared" si="121"/>
        <v>-0.9529886183484757</v>
      </c>
      <c r="J734" s="3">
        <f t="shared" si="122"/>
        <v>-0.9550527886739022</v>
      </c>
      <c r="K734" s="3">
        <f t="shared" si="123"/>
        <v>7.5364124482643305E-2</v>
      </c>
      <c r="L734" s="3">
        <f t="shared" si="124"/>
        <v>-5.0536145057435117E-2</v>
      </c>
      <c r="M734" s="3">
        <f t="shared" si="125"/>
        <v>-1.1136493110981271</v>
      </c>
      <c r="N734" s="3">
        <f t="shared" si="126"/>
        <v>-0.27394055586500432</v>
      </c>
      <c r="O734" s="3">
        <f t="shared" si="127"/>
        <v>0.19730818466943353</v>
      </c>
      <c r="P734" s="3">
        <f t="shared" si="128"/>
        <v>0.54916763942198643</v>
      </c>
      <c r="Q734" s="3">
        <f t="shared" si="129"/>
        <v>-0.79665971461471752</v>
      </c>
      <c r="R734" s="3">
        <f t="shared" si="131"/>
        <v>-0.54916763942198643</v>
      </c>
    </row>
    <row r="735" spans="1:18" x14ac:dyDescent="0.3">
      <c r="A735" s="2">
        <v>731</v>
      </c>
      <c r="B735" s="2">
        <v>1</v>
      </c>
      <c r="C735" s="2">
        <v>38</v>
      </c>
      <c r="D735" s="2">
        <f t="shared" si="130"/>
        <v>1444</v>
      </c>
      <c r="E735" s="2">
        <v>56.975900000000003</v>
      </c>
      <c r="F735" s="2">
        <v>184.54179999999999</v>
      </c>
      <c r="G735" s="2">
        <v>0.51807700000000001</v>
      </c>
      <c r="H735" s="2">
        <v>3</v>
      </c>
      <c r="I735" s="3">
        <f t="shared" si="121"/>
        <v>1.4941013982741542</v>
      </c>
      <c r="J735" s="3">
        <f t="shared" si="122"/>
        <v>1.6225643324346428</v>
      </c>
      <c r="K735" s="3">
        <f t="shared" si="123"/>
        <v>-1.8011858839077939</v>
      </c>
      <c r="L735" s="3">
        <f t="shared" si="124"/>
        <v>0.48446666143934369</v>
      </c>
      <c r="M735" s="3">
        <f t="shared" si="125"/>
        <v>9.62280855624391E-2</v>
      </c>
      <c r="N735" s="3">
        <f t="shared" si="126"/>
        <v>-0.27394055586500432</v>
      </c>
      <c r="O735" s="3">
        <f t="shared" si="127"/>
        <v>-0.12590083927781082</v>
      </c>
      <c r="P735" s="3">
        <f t="shared" si="128"/>
        <v>0.46856630056877052</v>
      </c>
      <c r="Q735" s="3">
        <f t="shared" si="129"/>
        <v>-0.75807767062725762</v>
      </c>
      <c r="R735" s="3">
        <f t="shared" si="131"/>
        <v>0.53143369943122942</v>
      </c>
    </row>
    <row r="736" spans="1:18" x14ac:dyDescent="0.3">
      <c r="A736" s="2">
        <v>732</v>
      </c>
      <c r="B736" s="2">
        <v>1</v>
      </c>
      <c r="C736" s="2">
        <v>31</v>
      </c>
      <c r="D736" s="2">
        <f t="shared" si="130"/>
        <v>961</v>
      </c>
      <c r="E736" s="2">
        <v>68.534700000000001</v>
      </c>
      <c r="F736" s="2">
        <v>174.65270000000001</v>
      </c>
      <c r="G736" s="2">
        <v>0.21399499999999999</v>
      </c>
      <c r="H736" s="2">
        <v>4</v>
      </c>
      <c r="I736" s="3">
        <f t="shared" si="121"/>
        <v>0.42349951600175367</v>
      </c>
      <c r="J736" s="3">
        <f t="shared" si="122"/>
        <v>0.32570071837690606</v>
      </c>
      <c r="K736" s="3">
        <f t="shared" si="123"/>
        <v>-0.63275956215691143</v>
      </c>
      <c r="L736" s="3">
        <f t="shared" si="124"/>
        <v>-0.51555153190872716</v>
      </c>
      <c r="M736" s="3">
        <f t="shared" si="125"/>
        <v>-0.96631072630459924</v>
      </c>
      <c r="N736" s="3">
        <f t="shared" si="126"/>
        <v>0.31391471423157125</v>
      </c>
      <c r="O736" s="3">
        <f t="shared" si="127"/>
        <v>-3.1963617568227291E-2</v>
      </c>
      <c r="P736" s="3">
        <f t="shared" si="128"/>
        <v>0.49200977587927913</v>
      </c>
      <c r="Q736" s="3">
        <f t="shared" si="129"/>
        <v>-0.70925669301389671</v>
      </c>
      <c r="R736" s="3">
        <f t="shared" si="131"/>
        <v>0.50799022412072081</v>
      </c>
    </row>
    <row r="737" spans="1:18" x14ac:dyDescent="0.3">
      <c r="A737" s="2">
        <v>733</v>
      </c>
      <c r="B737" s="2">
        <v>0</v>
      </c>
      <c r="C737" s="2">
        <v>19</v>
      </c>
      <c r="D737" s="2">
        <f t="shared" si="130"/>
        <v>361</v>
      </c>
      <c r="E737" s="2">
        <v>46.1173</v>
      </c>
      <c r="F737" s="2">
        <v>172.8751</v>
      </c>
      <c r="G737" s="2">
        <v>0.28328399999999998</v>
      </c>
      <c r="H737" s="2">
        <v>2</v>
      </c>
      <c r="I737" s="3">
        <f t="shared" si="121"/>
        <v>-1.4118179964652189</v>
      </c>
      <c r="J737" s="3">
        <f t="shared" si="122"/>
        <v>-1.2853099823159346</v>
      </c>
      <c r="K737" s="3">
        <f t="shared" si="123"/>
        <v>-2.8988321843338016</v>
      </c>
      <c r="L737" s="3">
        <f t="shared" si="124"/>
        <v>-0.6953082681633449</v>
      </c>
      <c r="M737" s="3">
        <f t="shared" si="125"/>
        <v>-0.72419757348577007</v>
      </c>
      <c r="N737" s="3">
        <f t="shared" si="126"/>
        <v>-0.86179582596158</v>
      </c>
      <c r="O737" s="3">
        <f t="shared" si="127"/>
        <v>6.9820738746568606E-2</v>
      </c>
      <c r="P737" s="3">
        <f t="shared" si="128"/>
        <v>0.51744809706674777</v>
      </c>
      <c r="Q737" s="3">
        <f t="shared" si="129"/>
        <v>-0.72866679314230642</v>
      </c>
      <c r="R737" s="3">
        <f t="shared" si="131"/>
        <v>-0.51744809706674777</v>
      </c>
    </row>
    <row r="738" spans="1:18" x14ac:dyDescent="0.3">
      <c r="A738" s="2">
        <v>734</v>
      </c>
      <c r="B738" s="2">
        <v>0</v>
      </c>
      <c r="C738" s="2">
        <v>28</v>
      </c>
      <c r="D738" s="2">
        <f t="shared" si="130"/>
        <v>784</v>
      </c>
      <c r="E738" s="2">
        <v>77.932699999999997</v>
      </c>
      <c r="F738" s="2">
        <v>194.4442</v>
      </c>
      <c r="G738" s="2">
        <v>0.40031299999999997</v>
      </c>
      <c r="H738" s="2">
        <v>1</v>
      </c>
      <c r="I738" s="3">
        <f t="shared" si="121"/>
        <v>-3.5329862114989473E-2</v>
      </c>
      <c r="J738" s="3">
        <f t="shared" si="122"/>
        <v>-0.14954743832748191</v>
      </c>
      <c r="K738" s="3">
        <f t="shared" si="123"/>
        <v>0.31724135245488133</v>
      </c>
      <c r="L738" s="3">
        <f t="shared" si="124"/>
        <v>1.4858297943644787</v>
      </c>
      <c r="M738" s="3">
        <f t="shared" si="125"/>
        <v>-0.31526888117913038</v>
      </c>
      <c r="N738" s="3">
        <f t="shared" si="126"/>
        <v>-1.4496510960581555</v>
      </c>
      <c r="O738" s="3">
        <f t="shared" si="127"/>
        <v>0.10703568294862661</v>
      </c>
      <c r="P738" s="3">
        <f t="shared" si="128"/>
        <v>0.52673340270078439</v>
      </c>
      <c r="Q738" s="3">
        <f t="shared" si="129"/>
        <v>-0.74809641861656884</v>
      </c>
      <c r="R738" s="3">
        <f t="shared" si="131"/>
        <v>-0.52673340270078439</v>
      </c>
    </row>
    <row r="739" spans="1:18" x14ac:dyDescent="0.3">
      <c r="A739" s="2">
        <v>735</v>
      </c>
      <c r="B739" s="2">
        <v>1</v>
      </c>
      <c r="C739" s="2">
        <v>36</v>
      </c>
      <c r="D739" s="2">
        <f t="shared" si="130"/>
        <v>1296</v>
      </c>
      <c r="E739" s="2">
        <v>77.832999999999998</v>
      </c>
      <c r="F739" s="2">
        <v>179.39709999999999</v>
      </c>
      <c r="G739" s="2">
        <v>0.81186599999999998</v>
      </c>
      <c r="H739" s="2">
        <v>5</v>
      </c>
      <c r="I739" s="3">
        <f t="shared" si="121"/>
        <v>1.1882151461963255</v>
      </c>
      <c r="J739" s="3">
        <f t="shared" si="122"/>
        <v>1.2251816929304087</v>
      </c>
      <c r="K739" s="3">
        <f t="shared" si="123"/>
        <v>0.30716313462270489</v>
      </c>
      <c r="L739" s="3">
        <f t="shared" si="124"/>
        <v>-3.5782259020337E-2</v>
      </c>
      <c r="M739" s="3">
        <f t="shared" si="125"/>
        <v>1.1228005725876669</v>
      </c>
      <c r="N739" s="3">
        <f t="shared" si="126"/>
        <v>0.90176998432814681</v>
      </c>
      <c r="O739" s="3">
        <f t="shared" si="127"/>
        <v>-6.9375292598113994E-2</v>
      </c>
      <c r="P739" s="3">
        <f t="shared" si="128"/>
        <v>0.48266312972311792</v>
      </c>
      <c r="Q739" s="3">
        <f t="shared" si="129"/>
        <v>-0.72843632265315139</v>
      </c>
      <c r="R739" s="3">
        <f t="shared" si="131"/>
        <v>0.51733687027688213</v>
      </c>
    </row>
    <row r="740" spans="1:18" x14ac:dyDescent="0.3">
      <c r="A740" s="2">
        <v>736</v>
      </c>
      <c r="B740" s="2">
        <v>1</v>
      </c>
      <c r="C740" s="2">
        <v>24</v>
      </c>
      <c r="D740" s="2">
        <f t="shared" si="130"/>
        <v>576</v>
      </c>
      <c r="E740" s="2">
        <v>67.0672</v>
      </c>
      <c r="F740" s="2">
        <v>184.548</v>
      </c>
      <c r="G740" s="2">
        <v>1.3861999999999999E-2</v>
      </c>
      <c r="H740" s="2">
        <v>6</v>
      </c>
      <c r="I740" s="3">
        <f t="shared" si="121"/>
        <v>-0.64710236627064699</v>
      </c>
      <c r="J740" s="3">
        <f t="shared" si="122"/>
        <v>-0.70803114790099997</v>
      </c>
      <c r="K740" s="3">
        <f t="shared" si="123"/>
        <v>-0.78110243747004271</v>
      </c>
      <c r="L740" s="3">
        <f t="shared" si="124"/>
        <v>0.48509362575346382</v>
      </c>
      <c r="M740" s="3">
        <f t="shared" si="125"/>
        <v>-1.6656256480539497</v>
      </c>
      <c r="N740" s="3">
        <f t="shared" si="126"/>
        <v>1.4896252544247224</v>
      </c>
      <c r="O740" s="3">
        <f t="shared" si="127"/>
        <v>0.10253793578570179</v>
      </c>
      <c r="P740" s="3">
        <f t="shared" si="128"/>
        <v>0.52561204739523082</v>
      </c>
      <c r="Q740" s="3">
        <f t="shared" si="129"/>
        <v>-0.64319189085062056</v>
      </c>
      <c r="R740" s="3">
        <f t="shared" si="131"/>
        <v>0.47438795260476918</v>
      </c>
    </row>
    <row r="741" spans="1:18" x14ac:dyDescent="0.3">
      <c r="A741" s="2">
        <v>737</v>
      </c>
      <c r="B741" s="2">
        <v>1</v>
      </c>
      <c r="C741" s="2">
        <v>23</v>
      </c>
      <c r="D741" s="2">
        <f t="shared" si="130"/>
        <v>529</v>
      </c>
      <c r="E741" s="2">
        <v>80.4011</v>
      </c>
      <c r="F741" s="2">
        <v>187.7413</v>
      </c>
      <c r="G741" s="2">
        <v>0.64937900000000004</v>
      </c>
      <c r="H741" s="2">
        <v>1</v>
      </c>
      <c r="I741" s="3">
        <f t="shared" si="121"/>
        <v>-0.80004549230956135</v>
      </c>
      <c r="J741" s="3">
        <f t="shared" si="122"/>
        <v>-0.83422698612193913</v>
      </c>
      <c r="K741" s="3">
        <f t="shared" si="123"/>
        <v>0.5667606392848189</v>
      </c>
      <c r="L741" s="3">
        <f t="shared" si="124"/>
        <v>0.80801058450788965</v>
      </c>
      <c r="M741" s="3">
        <f t="shared" si="125"/>
        <v>0.55503022141976011</v>
      </c>
      <c r="N741" s="3">
        <f t="shared" si="126"/>
        <v>-1.4496510960581555</v>
      </c>
      <c r="O741" s="3">
        <f t="shared" si="127"/>
        <v>0.16888401756718457</v>
      </c>
      <c r="P741" s="3">
        <f t="shared" si="128"/>
        <v>0.54212093816212592</v>
      </c>
      <c r="Q741" s="3">
        <f t="shared" si="129"/>
        <v>-0.61226616929253375</v>
      </c>
      <c r="R741" s="3">
        <f t="shared" si="131"/>
        <v>0.45787906183787408</v>
      </c>
    </row>
    <row r="742" spans="1:18" x14ac:dyDescent="0.3">
      <c r="A742" s="2">
        <v>738</v>
      </c>
      <c r="B742" s="2">
        <v>0</v>
      </c>
      <c r="C742" s="2">
        <v>19</v>
      </c>
      <c r="D742" s="2">
        <f t="shared" si="130"/>
        <v>361</v>
      </c>
      <c r="E742" s="2">
        <v>62.174999999999997</v>
      </c>
      <c r="F742" s="2">
        <v>169.98560000000001</v>
      </c>
      <c r="G742" s="2">
        <v>0.66887700000000005</v>
      </c>
      <c r="H742" s="2">
        <v>6</v>
      </c>
      <c r="I742" s="3">
        <f t="shared" si="121"/>
        <v>-1.4118179964652189</v>
      </c>
      <c r="J742" s="3">
        <f t="shared" si="122"/>
        <v>-1.2853099823159346</v>
      </c>
      <c r="K742" s="3">
        <f t="shared" si="123"/>
        <v>-1.2756326007456138</v>
      </c>
      <c r="L742" s="3">
        <f t="shared" si="124"/>
        <v>-0.98750397552592128</v>
      </c>
      <c r="M742" s="3">
        <f t="shared" si="125"/>
        <v>0.62316112608949903</v>
      </c>
      <c r="N742" s="3">
        <f t="shared" si="126"/>
        <v>1.4896252544247224</v>
      </c>
      <c r="O742" s="3">
        <f t="shared" si="127"/>
        <v>7.9410271366923441E-2</v>
      </c>
      <c r="P742" s="3">
        <f t="shared" si="128"/>
        <v>0.51984214190642719</v>
      </c>
      <c r="Q742" s="3">
        <f t="shared" si="129"/>
        <v>-0.73364035811814687</v>
      </c>
      <c r="R742" s="3">
        <f t="shared" si="131"/>
        <v>-0.51984214190642719</v>
      </c>
    </row>
    <row r="743" spans="1:18" x14ac:dyDescent="0.3">
      <c r="A743" s="2">
        <v>739</v>
      </c>
      <c r="B743" s="2">
        <v>0</v>
      </c>
      <c r="C743" s="2">
        <v>23</v>
      </c>
      <c r="D743" s="2">
        <f t="shared" si="130"/>
        <v>529</v>
      </c>
      <c r="E743" s="2">
        <v>65.334800000000001</v>
      </c>
      <c r="F743" s="2">
        <v>181.93209999999999</v>
      </c>
      <c r="G743" s="2">
        <v>0.79865600000000003</v>
      </c>
      <c r="H743" s="2">
        <v>5</v>
      </c>
      <c r="I743" s="3">
        <f t="shared" si="121"/>
        <v>-0.80004549230956135</v>
      </c>
      <c r="J743" s="3">
        <f t="shared" si="122"/>
        <v>-0.83422698612193913</v>
      </c>
      <c r="K743" s="3">
        <f t="shared" si="123"/>
        <v>-0.95622284441550653</v>
      </c>
      <c r="L743" s="3">
        <f t="shared" si="124"/>
        <v>0.22056524683331602</v>
      </c>
      <c r="M743" s="3">
        <f t="shared" si="125"/>
        <v>1.076641517777571</v>
      </c>
      <c r="N743" s="3">
        <f t="shared" si="126"/>
        <v>0.90176998432814681</v>
      </c>
      <c r="O743" s="3">
        <f t="shared" si="127"/>
        <v>4.6454231821326658E-4</v>
      </c>
      <c r="P743" s="3">
        <f t="shared" si="128"/>
        <v>0.50011613557746482</v>
      </c>
      <c r="Q743" s="3">
        <f t="shared" si="129"/>
        <v>-0.69337947869399741</v>
      </c>
      <c r="R743" s="3">
        <f t="shared" si="131"/>
        <v>-0.50011613557746482</v>
      </c>
    </row>
    <row r="744" spans="1:18" x14ac:dyDescent="0.3">
      <c r="A744" s="2">
        <v>740</v>
      </c>
      <c r="B744" s="2">
        <v>0</v>
      </c>
      <c r="C744" s="2">
        <v>35</v>
      </c>
      <c r="D744" s="2">
        <f t="shared" si="130"/>
        <v>1225</v>
      </c>
      <c r="E744" s="2">
        <v>79.171899999999994</v>
      </c>
      <c r="F744" s="2">
        <v>193.19640000000001</v>
      </c>
      <c r="G744" s="2">
        <v>0.93275300000000005</v>
      </c>
      <c r="H744" s="2">
        <v>3</v>
      </c>
      <c r="I744" s="3">
        <f t="shared" si="121"/>
        <v>1.0352720201574113</v>
      </c>
      <c r="J744" s="3">
        <f t="shared" si="122"/>
        <v>1.034545426681756</v>
      </c>
      <c r="K744" s="3">
        <f t="shared" si="123"/>
        <v>0.44250642304297788</v>
      </c>
      <c r="L744" s="3">
        <f t="shared" si="124"/>
        <v>1.3596481699841299</v>
      </c>
      <c r="M744" s="3">
        <f t="shared" si="125"/>
        <v>1.5452100849894885</v>
      </c>
      <c r="N744" s="3">
        <f t="shared" si="126"/>
        <v>-0.27394055586500432</v>
      </c>
      <c r="O744" s="3">
        <f t="shared" si="127"/>
        <v>-3.1333977831020592E-2</v>
      </c>
      <c r="P744" s="3">
        <f t="shared" si="128"/>
        <v>0.4921671464015881</v>
      </c>
      <c r="Q744" s="3">
        <f t="shared" si="129"/>
        <v>-0.67760291389494187</v>
      </c>
      <c r="R744" s="3">
        <f t="shared" si="131"/>
        <v>-0.4921671464015881</v>
      </c>
    </row>
    <row r="745" spans="1:18" x14ac:dyDescent="0.3">
      <c r="A745" s="2">
        <v>741</v>
      </c>
      <c r="B745" s="2">
        <v>0</v>
      </c>
      <c r="C745" s="2">
        <v>19</v>
      </c>
      <c r="D745" s="2">
        <f t="shared" si="130"/>
        <v>361</v>
      </c>
      <c r="E745" s="2">
        <v>68.113299999999995</v>
      </c>
      <c r="F745" s="2">
        <v>198.19220000000001</v>
      </c>
      <c r="G745" s="2">
        <v>2.0138E-2</v>
      </c>
      <c r="H745" s="2">
        <v>1</v>
      </c>
      <c r="I745" s="3">
        <f t="shared" si="121"/>
        <v>-1.4118179964652189</v>
      </c>
      <c r="J745" s="3">
        <f t="shared" si="122"/>
        <v>-1.2853099823159346</v>
      </c>
      <c r="K745" s="3">
        <f t="shared" si="123"/>
        <v>-0.67535696430815806</v>
      </c>
      <c r="L745" s="3">
        <f t="shared" si="124"/>
        <v>1.8648398345772983</v>
      </c>
      <c r="M745" s="3">
        <f t="shared" si="125"/>
        <v>-1.6436957292054892</v>
      </c>
      <c r="N745" s="3">
        <f t="shared" si="126"/>
        <v>-1.4496510960581555</v>
      </c>
      <c r="O745" s="3">
        <f t="shared" si="127"/>
        <v>0.32220614205797143</v>
      </c>
      <c r="P745" s="3">
        <f t="shared" si="128"/>
        <v>0.5798618115827554</v>
      </c>
      <c r="Q745" s="3">
        <f t="shared" si="129"/>
        <v>-0.86717160177888852</v>
      </c>
      <c r="R745" s="3">
        <f t="shared" si="131"/>
        <v>-0.5798618115827554</v>
      </c>
    </row>
    <row r="746" spans="1:18" x14ac:dyDescent="0.3">
      <c r="A746" s="2">
        <v>742</v>
      </c>
      <c r="B746" s="2">
        <v>0</v>
      </c>
      <c r="C746" s="2">
        <v>35</v>
      </c>
      <c r="D746" s="2">
        <f t="shared" si="130"/>
        <v>1225</v>
      </c>
      <c r="E746" s="2">
        <v>74.373400000000004</v>
      </c>
      <c r="F746" s="2">
        <v>180.39940000000001</v>
      </c>
      <c r="G746" s="2">
        <v>0.153784</v>
      </c>
      <c r="H746" s="2">
        <v>4</v>
      </c>
      <c r="I746" s="3">
        <f t="shared" si="121"/>
        <v>1.0352720201574113</v>
      </c>
      <c r="J746" s="3">
        <f t="shared" si="122"/>
        <v>1.034545426681756</v>
      </c>
      <c r="K746" s="3">
        <f t="shared" si="123"/>
        <v>-4.2552035008169217E-2</v>
      </c>
      <c r="L746" s="3">
        <f t="shared" si="124"/>
        <v>6.5573600986417152E-2</v>
      </c>
      <c r="M746" s="3">
        <f t="shared" si="125"/>
        <v>-1.1767030691638487</v>
      </c>
      <c r="N746" s="3">
        <f t="shared" si="126"/>
        <v>0.31391471423157125</v>
      </c>
      <c r="O746" s="3">
        <f t="shared" si="127"/>
        <v>1.4356650358893629E-2</v>
      </c>
      <c r="P746" s="3">
        <f t="shared" si="128"/>
        <v>0.50358910094311582</v>
      </c>
      <c r="Q746" s="3">
        <f t="shared" si="129"/>
        <v>-0.70035126969432193</v>
      </c>
      <c r="R746" s="3">
        <f t="shared" si="131"/>
        <v>-0.50358910094311582</v>
      </c>
    </row>
    <row r="747" spans="1:18" x14ac:dyDescent="0.3">
      <c r="A747" s="2">
        <v>743</v>
      </c>
      <c r="B747" s="2">
        <v>0</v>
      </c>
      <c r="C747" s="2">
        <v>32</v>
      </c>
      <c r="D747" s="2">
        <f t="shared" si="130"/>
        <v>1024</v>
      </c>
      <c r="E747" s="2">
        <v>69.363500000000002</v>
      </c>
      <c r="F747" s="2">
        <v>177.6206</v>
      </c>
      <c r="G747" s="2">
        <v>0.88617100000000004</v>
      </c>
      <c r="H747" s="2">
        <v>2</v>
      </c>
      <c r="I747" s="3">
        <f t="shared" si="121"/>
        <v>0.57644264204066809</v>
      </c>
      <c r="J747" s="3">
        <f t="shared" si="122"/>
        <v>0.49485684194965435</v>
      </c>
      <c r="K747" s="3">
        <f t="shared" si="123"/>
        <v>-0.54897995393917842</v>
      </c>
      <c r="L747" s="3">
        <f t="shared" si="124"/>
        <v>-0.21542775967083597</v>
      </c>
      <c r="M747" s="3">
        <f t="shared" si="125"/>
        <v>1.3824408880807915</v>
      </c>
      <c r="N747" s="3">
        <f t="shared" si="126"/>
        <v>-0.86179582596158</v>
      </c>
      <c r="O747" s="3">
        <f t="shared" si="127"/>
        <v>-0.10982743414944837</v>
      </c>
      <c r="P747" s="3">
        <f t="shared" si="128"/>
        <v>0.47257070708165122</v>
      </c>
      <c r="Q747" s="3">
        <f t="shared" si="129"/>
        <v>-0.63974046447727873</v>
      </c>
      <c r="R747" s="3">
        <f t="shared" si="131"/>
        <v>-0.47257070708165122</v>
      </c>
    </row>
    <row r="748" spans="1:18" x14ac:dyDescent="0.3">
      <c r="A748" s="2">
        <v>744</v>
      </c>
      <c r="B748" s="2">
        <v>0</v>
      </c>
      <c r="C748" s="2">
        <v>36</v>
      </c>
      <c r="D748" s="2">
        <f t="shared" si="130"/>
        <v>1296</v>
      </c>
      <c r="E748" s="2">
        <v>70.890699999999995</v>
      </c>
      <c r="F748" s="2">
        <v>182.6902</v>
      </c>
      <c r="G748" s="2">
        <v>0.45851900000000001</v>
      </c>
      <c r="H748" s="2">
        <v>4</v>
      </c>
      <c r="I748" s="3">
        <f t="shared" si="121"/>
        <v>1.1882151461963255</v>
      </c>
      <c r="J748" s="3">
        <f t="shared" si="122"/>
        <v>1.2251816929304087</v>
      </c>
      <c r="K748" s="3">
        <f t="shared" si="123"/>
        <v>-0.39460227817889704</v>
      </c>
      <c r="L748" s="3">
        <f t="shared" si="124"/>
        <v>0.29722680272588331</v>
      </c>
      <c r="M748" s="3">
        <f t="shared" si="125"/>
        <v>-0.11188251143829447</v>
      </c>
      <c r="N748" s="3">
        <f t="shared" si="126"/>
        <v>0.31391471423157125</v>
      </c>
      <c r="O748" s="3">
        <f t="shared" si="127"/>
        <v>-4.6991587406162584E-2</v>
      </c>
      <c r="P748" s="3">
        <f t="shared" si="128"/>
        <v>0.4882542644891022</v>
      </c>
      <c r="Q748" s="3">
        <f t="shared" si="129"/>
        <v>-0.6699273876246572</v>
      </c>
      <c r="R748" s="3">
        <f t="shared" si="131"/>
        <v>-0.4882542644891022</v>
      </c>
    </row>
    <row r="749" spans="1:18" x14ac:dyDescent="0.3">
      <c r="A749" s="2">
        <v>745</v>
      </c>
      <c r="B749" s="2">
        <v>1</v>
      </c>
      <c r="C749" s="2">
        <v>19</v>
      </c>
      <c r="D749" s="2">
        <f t="shared" si="130"/>
        <v>361</v>
      </c>
      <c r="E749" s="2">
        <v>71.327799999999996</v>
      </c>
      <c r="F749" s="2">
        <v>182.43639999999999</v>
      </c>
      <c r="G749" s="2">
        <v>0.56459099999999995</v>
      </c>
      <c r="H749" s="2">
        <v>2</v>
      </c>
      <c r="I749" s="3">
        <f t="shared" si="121"/>
        <v>-1.4118179964652189</v>
      </c>
      <c r="J749" s="3">
        <f t="shared" si="122"/>
        <v>-1.2853099823159346</v>
      </c>
      <c r="K749" s="3">
        <f t="shared" si="123"/>
        <v>-0.35041783470402837</v>
      </c>
      <c r="L749" s="3">
        <f t="shared" si="124"/>
        <v>0.27156171515757543</v>
      </c>
      <c r="M749" s="3">
        <f t="shared" si="125"/>
        <v>0.25875967340776818</v>
      </c>
      <c r="N749" s="3">
        <f t="shared" si="126"/>
        <v>-0.86179582596158</v>
      </c>
      <c r="O749" s="3">
        <f t="shared" si="127"/>
        <v>0.21752635454427938</v>
      </c>
      <c r="P749" s="3">
        <f t="shared" si="128"/>
        <v>0.5541681640797731</v>
      </c>
      <c r="Q749" s="3">
        <f t="shared" si="129"/>
        <v>-0.59028709302504956</v>
      </c>
      <c r="R749" s="3">
        <f t="shared" si="131"/>
        <v>0.4458318359202269</v>
      </c>
    </row>
    <row r="750" spans="1:18" x14ac:dyDescent="0.3">
      <c r="A750" s="2">
        <v>746</v>
      </c>
      <c r="B750" s="2">
        <v>1</v>
      </c>
      <c r="C750" s="2">
        <v>37</v>
      </c>
      <c r="D750" s="2">
        <f t="shared" si="130"/>
        <v>1369</v>
      </c>
      <c r="E750" s="2">
        <v>67.932400000000001</v>
      </c>
      <c r="F750" s="2">
        <v>193.86760000000001</v>
      </c>
      <c r="G750" s="2">
        <v>0.66302700000000003</v>
      </c>
      <c r="H750" s="2">
        <v>6</v>
      </c>
      <c r="I750" s="3">
        <f t="shared" si="121"/>
        <v>1.34115827223524</v>
      </c>
      <c r="J750" s="3">
        <f t="shared" si="122"/>
        <v>1.4211879948480377</v>
      </c>
      <c r="K750" s="3">
        <f t="shared" si="123"/>
        <v>-0.69364331943193624</v>
      </c>
      <c r="L750" s="3">
        <f t="shared" si="124"/>
        <v>1.4275221131513771</v>
      </c>
      <c r="M750" s="3">
        <f t="shared" si="125"/>
        <v>0.60271975813801815</v>
      </c>
      <c r="N750" s="3">
        <f t="shared" si="126"/>
        <v>1.4896252544247224</v>
      </c>
      <c r="O750" s="3">
        <f t="shared" si="127"/>
        <v>-8.3420213332928872E-2</v>
      </c>
      <c r="P750" s="3">
        <f t="shared" si="128"/>
        <v>0.47915703233132617</v>
      </c>
      <c r="Q750" s="3">
        <f t="shared" si="129"/>
        <v>-0.73572690161984988</v>
      </c>
      <c r="R750" s="3">
        <f t="shared" si="131"/>
        <v>0.52084296766867388</v>
      </c>
    </row>
    <row r="751" spans="1:18" x14ac:dyDescent="0.3">
      <c r="A751" s="2">
        <v>747</v>
      </c>
      <c r="B751" s="2">
        <v>0</v>
      </c>
      <c r="C751" s="2">
        <v>23</v>
      </c>
      <c r="D751" s="2">
        <f t="shared" si="130"/>
        <v>529</v>
      </c>
      <c r="E751" s="2">
        <v>78.024500000000003</v>
      </c>
      <c r="F751" s="2">
        <v>170.0361</v>
      </c>
      <c r="G751" s="2">
        <v>0.67906699999999998</v>
      </c>
      <c r="H751" s="2">
        <v>1</v>
      </c>
      <c r="I751" s="3">
        <f t="shared" si="121"/>
        <v>-0.80004549230956135</v>
      </c>
      <c r="J751" s="3">
        <f t="shared" si="122"/>
        <v>-0.83422698612193913</v>
      </c>
      <c r="K751" s="3">
        <f t="shared" si="123"/>
        <v>0.32652099535351603</v>
      </c>
      <c r="L751" s="3">
        <f t="shared" si="124"/>
        <v>-0.98239725006414236</v>
      </c>
      <c r="M751" s="3">
        <f t="shared" si="125"/>
        <v>0.65876754308532592</v>
      </c>
      <c r="N751" s="3">
        <f t="shared" si="126"/>
        <v>-1.4496510960581555</v>
      </c>
      <c r="O751" s="3">
        <f t="shared" si="127"/>
        <v>0.10722634045149153</v>
      </c>
      <c r="P751" s="3">
        <f t="shared" si="128"/>
        <v>0.52678093057599418</v>
      </c>
      <c r="Q751" s="3">
        <f t="shared" si="129"/>
        <v>-0.74819684882258397</v>
      </c>
      <c r="R751" s="3">
        <f t="shared" si="131"/>
        <v>-0.52678093057599418</v>
      </c>
    </row>
    <row r="752" spans="1:18" x14ac:dyDescent="0.3">
      <c r="A752" s="2">
        <v>748</v>
      </c>
      <c r="B752" s="2">
        <v>0</v>
      </c>
      <c r="C752" s="2">
        <v>18</v>
      </c>
      <c r="D752" s="2">
        <f t="shared" si="130"/>
        <v>324</v>
      </c>
      <c r="E752" s="2">
        <v>68.720699999999994</v>
      </c>
      <c r="F752" s="2">
        <v>177.2013</v>
      </c>
      <c r="G752" s="2">
        <v>0.93174000000000001</v>
      </c>
      <c r="H752" s="2">
        <v>1</v>
      </c>
      <c r="I752" s="3">
        <f t="shared" si="121"/>
        <v>-1.5647611225041334</v>
      </c>
      <c r="J752" s="3">
        <f t="shared" si="122"/>
        <v>-1.3846556421919931</v>
      </c>
      <c r="K752" s="3">
        <f t="shared" si="123"/>
        <v>-0.61395767131654255</v>
      </c>
      <c r="L752" s="3">
        <f t="shared" si="124"/>
        <v>-0.25782874949507067</v>
      </c>
      <c r="M752" s="3">
        <f t="shared" si="125"/>
        <v>1.5416704087954969</v>
      </c>
      <c r="N752" s="3">
        <f t="shared" si="126"/>
        <v>-1.4496510960581555</v>
      </c>
      <c r="O752" s="3">
        <f t="shared" si="127"/>
        <v>0.17616832315654168</v>
      </c>
      <c r="P752" s="3">
        <f t="shared" si="128"/>
        <v>0.54392852833725491</v>
      </c>
      <c r="Q752" s="3">
        <f t="shared" si="129"/>
        <v>-0.78510574564705937</v>
      </c>
      <c r="R752" s="3">
        <f t="shared" si="131"/>
        <v>-0.54392852833725491</v>
      </c>
    </row>
    <row r="753" spans="1:18" x14ac:dyDescent="0.3">
      <c r="A753" s="2">
        <v>749</v>
      </c>
      <c r="B753" s="2">
        <v>0</v>
      </c>
      <c r="C753" s="2">
        <v>32</v>
      </c>
      <c r="D753" s="2">
        <f t="shared" si="130"/>
        <v>1024</v>
      </c>
      <c r="E753" s="2">
        <v>75.156899999999993</v>
      </c>
      <c r="F753" s="2">
        <v>168.82859999999999</v>
      </c>
      <c r="G753" s="2">
        <v>0.99694899999999997</v>
      </c>
      <c r="H753" s="2">
        <v>2</v>
      </c>
      <c r="I753" s="3">
        <f t="shared" si="121"/>
        <v>0.57644264204066809</v>
      </c>
      <c r="J753" s="3">
        <f t="shared" si="122"/>
        <v>0.49485684194965435</v>
      </c>
      <c r="K753" s="3">
        <f t="shared" si="123"/>
        <v>3.6648403021021028E-2</v>
      </c>
      <c r="L753" s="3">
        <f t="shared" si="124"/>
        <v>-1.1045036064027181</v>
      </c>
      <c r="M753" s="3">
        <f t="shared" si="125"/>
        <v>1.7695270178122673</v>
      </c>
      <c r="N753" s="3">
        <f t="shared" si="126"/>
        <v>-0.86179582596158</v>
      </c>
      <c r="O753" s="3">
        <f t="shared" si="127"/>
        <v>-0.10849307793535626</v>
      </c>
      <c r="P753" s="3">
        <f t="shared" si="128"/>
        <v>0.47290330433463917</v>
      </c>
      <c r="Q753" s="3">
        <f t="shared" si="129"/>
        <v>-0.64037126403578604</v>
      </c>
      <c r="R753" s="3">
        <f t="shared" si="131"/>
        <v>-0.47290330433463917</v>
      </c>
    </row>
    <row r="754" spans="1:18" x14ac:dyDescent="0.3">
      <c r="A754" s="2">
        <v>750</v>
      </c>
      <c r="B754" s="2">
        <v>1</v>
      </c>
      <c r="C754" s="2">
        <v>27</v>
      </c>
      <c r="D754" s="2">
        <f t="shared" si="130"/>
        <v>729</v>
      </c>
      <c r="E754" s="2">
        <v>67.712699999999998</v>
      </c>
      <c r="F754" s="2">
        <v>169.87909999999999</v>
      </c>
      <c r="G754" s="2">
        <v>0.72015700000000005</v>
      </c>
      <c r="H754" s="2">
        <v>3</v>
      </c>
      <c r="I754" s="3">
        <f t="shared" si="121"/>
        <v>-0.18827298815390386</v>
      </c>
      <c r="J754" s="3">
        <f t="shared" si="122"/>
        <v>-0.29722341922432566</v>
      </c>
      <c r="K754" s="3">
        <f t="shared" si="123"/>
        <v>-0.71585178941919037</v>
      </c>
      <c r="L754" s="3">
        <f t="shared" si="124"/>
        <v>-0.99827360447006996</v>
      </c>
      <c r="M754" s="3">
        <f t="shared" si="125"/>
        <v>0.80234631387615429</v>
      </c>
      <c r="N754" s="3">
        <f t="shared" si="126"/>
        <v>-0.27394055586500432</v>
      </c>
      <c r="O754" s="3">
        <f t="shared" si="127"/>
        <v>-6.6777772945873864E-2</v>
      </c>
      <c r="P754" s="3">
        <f t="shared" si="128"/>
        <v>0.48331175775218321</v>
      </c>
      <c r="Q754" s="3">
        <f t="shared" si="129"/>
        <v>-0.72709337236539651</v>
      </c>
      <c r="R754" s="3">
        <f t="shared" si="131"/>
        <v>0.51668824224781673</v>
      </c>
    </row>
    <row r="755" spans="1:18" x14ac:dyDescent="0.3">
      <c r="A755" s="2">
        <v>751</v>
      </c>
      <c r="B755" s="2">
        <v>0</v>
      </c>
      <c r="C755" s="2">
        <v>36</v>
      </c>
      <c r="D755" s="2">
        <f t="shared" si="130"/>
        <v>1296</v>
      </c>
      <c r="E755" s="2">
        <v>59.656999999999996</v>
      </c>
      <c r="F755" s="2">
        <v>183.76570000000001</v>
      </c>
      <c r="G755" s="2">
        <v>0.287221</v>
      </c>
      <c r="H755" s="2">
        <v>5</v>
      </c>
      <c r="I755" s="3">
        <f t="shared" si="121"/>
        <v>1.1882151461963255</v>
      </c>
      <c r="J755" s="3">
        <f t="shared" si="122"/>
        <v>1.2251816929304087</v>
      </c>
      <c r="K755" s="3">
        <f t="shared" si="123"/>
        <v>-1.530165725132983</v>
      </c>
      <c r="L755" s="3">
        <f t="shared" si="124"/>
        <v>0.40598488657030363</v>
      </c>
      <c r="M755" s="3">
        <f t="shared" si="125"/>
        <v>-0.71044070756697009</v>
      </c>
      <c r="N755" s="3">
        <f t="shared" si="126"/>
        <v>0.90176998432814681</v>
      </c>
      <c r="O755" s="3">
        <f t="shared" si="127"/>
        <v>-0.10167538588783018</v>
      </c>
      <c r="P755" s="3">
        <f t="shared" si="128"/>
        <v>0.47460302900442908</v>
      </c>
      <c r="Q755" s="3">
        <f t="shared" si="129"/>
        <v>-0.64360116688707447</v>
      </c>
      <c r="R755" s="3">
        <f t="shared" si="131"/>
        <v>-0.47460302900442908</v>
      </c>
    </row>
    <row r="756" spans="1:18" x14ac:dyDescent="0.3">
      <c r="A756" s="2">
        <v>752</v>
      </c>
      <c r="B756" s="2">
        <v>1</v>
      </c>
      <c r="C756" s="2">
        <v>34</v>
      </c>
      <c r="D756" s="2">
        <f t="shared" si="130"/>
        <v>1156</v>
      </c>
      <c r="E756" s="2">
        <v>84.124399999999994</v>
      </c>
      <c r="F756" s="2">
        <v>188.0986</v>
      </c>
      <c r="G756" s="2">
        <v>0.87975199999999998</v>
      </c>
      <c r="H756" s="2">
        <v>4</v>
      </c>
      <c r="I756" s="3">
        <f t="shared" si="121"/>
        <v>0.8823288941184968</v>
      </c>
      <c r="J756" s="3">
        <f t="shared" si="122"/>
        <v>0.84927919610207925</v>
      </c>
      <c r="K756" s="3">
        <f t="shared" si="123"/>
        <v>0.94313203802647505</v>
      </c>
      <c r="L756" s="3">
        <f t="shared" si="124"/>
        <v>0.84414193119093217</v>
      </c>
      <c r="M756" s="3">
        <f t="shared" si="125"/>
        <v>1.3600112913490725</v>
      </c>
      <c r="N756" s="3">
        <f t="shared" si="126"/>
        <v>0.31391471423157125</v>
      </c>
      <c r="O756" s="3">
        <f t="shared" si="127"/>
        <v>-1.0280764629770414E-2</v>
      </c>
      <c r="P756" s="3">
        <f t="shared" si="128"/>
        <v>0.49742983148015957</v>
      </c>
      <c r="Q756" s="3">
        <f t="shared" si="129"/>
        <v>-0.69830077458181872</v>
      </c>
      <c r="R756" s="3">
        <f t="shared" si="131"/>
        <v>0.50257016851984049</v>
      </c>
    </row>
    <row r="757" spans="1:18" x14ac:dyDescent="0.3">
      <c r="A757" s="2">
        <v>753</v>
      </c>
      <c r="B757" s="2">
        <v>1</v>
      </c>
      <c r="C757" s="2">
        <v>22</v>
      </c>
      <c r="D757" s="2">
        <f t="shared" si="130"/>
        <v>484</v>
      </c>
      <c r="E757" s="2">
        <v>79.9953</v>
      </c>
      <c r="F757" s="2">
        <v>173.5061</v>
      </c>
      <c r="G757" s="2">
        <v>4.9221000000000001E-2</v>
      </c>
      <c r="H757" s="2">
        <v>6</v>
      </c>
      <c r="I757" s="3">
        <f t="shared" si="121"/>
        <v>-0.9529886183484757</v>
      </c>
      <c r="J757" s="3">
        <f t="shared" si="122"/>
        <v>-0.9550527886739022</v>
      </c>
      <c r="K757" s="3">
        <f t="shared" si="123"/>
        <v>0.52574016991373296</v>
      </c>
      <c r="L757" s="3">
        <f t="shared" si="124"/>
        <v>-0.63149948071022644</v>
      </c>
      <c r="M757" s="3">
        <f t="shared" si="125"/>
        <v>-1.5420724293537089</v>
      </c>
      <c r="N757" s="3">
        <f t="shared" si="126"/>
        <v>1.4896252544247224</v>
      </c>
      <c r="O757" s="3">
        <f t="shared" si="127"/>
        <v>0.20698448965407104</v>
      </c>
      <c r="P757" s="3">
        <f t="shared" si="128"/>
        <v>0.55156216571334915</v>
      </c>
      <c r="Q757" s="3">
        <f t="shared" si="129"/>
        <v>-0.59500072549271932</v>
      </c>
      <c r="R757" s="3">
        <f t="shared" si="131"/>
        <v>0.44843783428665085</v>
      </c>
    </row>
    <row r="758" spans="1:18" x14ac:dyDescent="0.3">
      <c r="A758" s="2">
        <v>754</v>
      </c>
      <c r="B758" s="2">
        <v>1</v>
      </c>
      <c r="C758" s="2">
        <v>21</v>
      </c>
      <c r="D758" s="2">
        <f t="shared" si="130"/>
        <v>441</v>
      </c>
      <c r="E758" s="2">
        <v>97.886799999999994</v>
      </c>
      <c r="F758" s="2">
        <v>187.7209</v>
      </c>
      <c r="G758" s="2">
        <v>0.23108100000000001</v>
      </c>
      <c r="H758" s="2">
        <v>4</v>
      </c>
      <c r="I758" s="3">
        <f t="shared" si="121"/>
        <v>-1.1059317443873902</v>
      </c>
      <c r="J758" s="3">
        <f t="shared" si="122"/>
        <v>-1.0705085555568892</v>
      </c>
      <c r="K758" s="3">
        <f t="shared" si="123"/>
        <v>2.3343102235184245</v>
      </c>
      <c r="L758" s="3">
        <f t="shared" si="124"/>
        <v>0.80594766966788445</v>
      </c>
      <c r="M758" s="3">
        <f t="shared" si="125"/>
        <v>-0.90660795488254775</v>
      </c>
      <c r="N758" s="3">
        <f t="shared" si="126"/>
        <v>0.31391471423157125</v>
      </c>
      <c r="O758" s="3">
        <f t="shared" si="127"/>
        <v>0.37639746319548145</v>
      </c>
      <c r="P758" s="3">
        <f t="shared" si="128"/>
        <v>0.59300392186102147</v>
      </c>
      <c r="Q758" s="3">
        <f t="shared" si="129"/>
        <v>-0.52255426641265323</v>
      </c>
      <c r="R758" s="3">
        <f t="shared" si="131"/>
        <v>0.40699607813897853</v>
      </c>
    </row>
    <row r="759" spans="1:18" x14ac:dyDescent="0.3">
      <c r="A759" s="2">
        <v>755</v>
      </c>
      <c r="B759" s="2">
        <v>1</v>
      </c>
      <c r="C759" s="2">
        <v>27</v>
      </c>
      <c r="D759" s="2">
        <f t="shared" si="130"/>
        <v>729</v>
      </c>
      <c r="E759" s="2">
        <v>64.560299999999998</v>
      </c>
      <c r="F759" s="2">
        <v>191.11580000000001</v>
      </c>
      <c r="G759" s="2">
        <v>0.89738600000000002</v>
      </c>
      <c r="H759" s="2">
        <v>4</v>
      </c>
      <c r="I759" s="3">
        <f t="shared" si="121"/>
        <v>-0.18827298815390386</v>
      </c>
      <c r="J759" s="3">
        <f t="shared" si="122"/>
        <v>-0.29722341922432566</v>
      </c>
      <c r="K759" s="3">
        <f t="shared" si="123"/>
        <v>-1.0345135135330674</v>
      </c>
      <c r="L759" s="3">
        <f t="shared" si="124"/>
        <v>1.149251080958839</v>
      </c>
      <c r="M759" s="3">
        <f t="shared" si="125"/>
        <v>1.4216289122817927</v>
      </c>
      <c r="N759" s="3">
        <f t="shared" si="126"/>
        <v>0.31391471423157125</v>
      </c>
      <c r="O759" s="3">
        <f t="shared" si="127"/>
        <v>-7.2409693231869618E-2</v>
      </c>
      <c r="P759" s="3">
        <f t="shared" si="128"/>
        <v>0.48190548204451095</v>
      </c>
      <c r="Q759" s="3">
        <f t="shared" si="129"/>
        <v>-0.73000727950408073</v>
      </c>
      <c r="R759" s="3">
        <f t="shared" si="131"/>
        <v>0.518094517955489</v>
      </c>
    </row>
    <row r="760" spans="1:18" x14ac:dyDescent="0.3">
      <c r="A760" s="2">
        <v>756</v>
      </c>
      <c r="B760" s="2">
        <v>1</v>
      </c>
      <c r="C760" s="2">
        <v>34</v>
      </c>
      <c r="D760" s="2">
        <f t="shared" si="130"/>
        <v>1156</v>
      </c>
      <c r="E760" s="2">
        <v>72.910399999999996</v>
      </c>
      <c r="F760" s="2">
        <v>199.34710000000001</v>
      </c>
      <c r="G760" s="2">
        <v>0.25619199999999998</v>
      </c>
      <c r="H760" s="2">
        <v>6</v>
      </c>
      <c r="I760" s="3">
        <f t="shared" si="121"/>
        <v>0.8823288941184968</v>
      </c>
      <c r="J760" s="3">
        <f t="shared" si="122"/>
        <v>0.84927919610207925</v>
      </c>
      <c r="K760" s="3">
        <f t="shared" si="123"/>
        <v>-0.19044002586548578</v>
      </c>
      <c r="L760" s="3">
        <f t="shared" si="124"/>
        <v>1.9816271065735049</v>
      </c>
      <c r="M760" s="3">
        <f t="shared" si="125"/>
        <v>-0.81886381973218325</v>
      </c>
      <c r="N760" s="3">
        <f t="shared" si="126"/>
        <v>1.4896252544247224</v>
      </c>
      <c r="O760" s="3">
        <f t="shared" si="127"/>
        <v>1.7977158524577392E-2</v>
      </c>
      <c r="P760" s="3">
        <f t="shared" si="128"/>
        <v>0.50449416859700902</v>
      </c>
      <c r="Q760" s="3">
        <f t="shared" si="129"/>
        <v>-0.68419899803226569</v>
      </c>
      <c r="R760" s="3">
        <f t="shared" si="131"/>
        <v>0.49550583140299098</v>
      </c>
    </row>
    <row r="761" spans="1:18" x14ac:dyDescent="0.3">
      <c r="A761" s="2">
        <v>757</v>
      </c>
      <c r="B761" s="2">
        <v>0</v>
      </c>
      <c r="C761" s="2">
        <v>27</v>
      </c>
      <c r="D761" s="2">
        <f t="shared" si="130"/>
        <v>729</v>
      </c>
      <c r="E761" s="2">
        <v>73.7149</v>
      </c>
      <c r="F761" s="2">
        <v>180.69749999999999</v>
      </c>
      <c r="G761" s="2">
        <v>0.22065100000000001</v>
      </c>
      <c r="H761" s="2">
        <v>6</v>
      </c>
      <c r="I761" s="3">
        <f t="shared" si="121"/>
        <v>-0.18827298815390386</v>
      </c>
      <c r="J761" s="3">
        <f t="shared" si="122"/>
        <v>-0.29722341922432566</v>
      </c>
      <c r="K761" s="3">
        <f t="shared" si="123"/>
        <v>-0.10911679370915552</v>
      </c>
      <c r="L761" s="3">
        <f t="shared" si="124"/>
        <v>9.5718449702380901E-2</v>
      </c>
      <c r="M761" s="3">
        <f t="shared" si="125"/>
        <v>-0.94305299210202564</v>
      </c>
      <c r="N761" s="3">
        <f t="shared" si="126"/>
        <v>1.4896252544247224</v>
      </c>
      <c r="O761" s="3">
        <f t="shared" si="127"/>
        <v>4.7944299880119917E-2</v>
      </c>
      <c r="P761" s="3">
        <f t="shared" si="128"/>
        <v>0.51198377950918939</v>
      </c>
      <c r="Q761" s="3">
        <f t="shared" si="129"/>
        <v>-0.71740663497070611</v>
      </c>
      <c r="R761" s="3">
        <f t="shared" si="131"/>
        <v>-0.51198377950918939</v>
      </c>
    </row>
    <row r="762" spans="1:18" x14ac:dyDescent="0.3">
      <c r="A762" s="2">
        <v>758</v>
      </c>
      <c r="B762" s="2">
        <v>0</v>
      </c>
      <c r="C762" s="2">
        <v>34</v>
      </c>
      <c r="D762" s="2">
        <f t="shared" si="130"/>
        <v>1156</v>
      </c>
      <c r="E762" s="2">
        <v>84.893699999999995</v>
      </c>
      <c r="F762" s="2">
        <v>173.60239999999999</v>
      </c>
      <c r="G762" s="2">
        <v>0.138125</v>
      </c>
      <c r="H762" s="2">
        <v>1</v>
      </c>
      <c r="I762" s="3">
        <f t="shared" si="121"/>
        <v>0.8823288941184968</v>
      </c>
      <c r="J762" s="3">
        <f t="shared" si="122"/>
        <v>0.84927919610207925</v>
      </c>
      <c r="K762" s="3">
        <f t="shared" si="123"/>
        <v>1.0208970628839824</v>
      </c>
      <c r="L762" s="3">
        <f t="shared" si="124"/>
        <v>-0.6217613091860833</v>
      </c>
      <c r="M762" s="3">
        <f t="shared" si="125"/>
        <v>-1.2314195445061114</v>
      </c>
      <c r="N762" s="3">
        <f t="shared" si="126"/>
        <v>-1.4496510960581555</v>
      </c>
      <c r="O762" s="3">
        <f t="shared" si="127"/>
        <v>9.5569215201468952E-2</v>
      </c>
      <c r="P762" s="3">
        <f t="shared" si="128"/>
        <v>0.52387413541449268</v>
      </c>
      <c r="Q762" s="3">
        <f t="shared" si="129"/>
        <v>-0.74207303830576887</v>
      </c>
      <c r="R762" s="3">
        <f t="shared" si="131"/>
        <v>-0.52387413541449268</v>
      </c>
    </row>
    <row r="763" spans="1:18" x14ac:dyDescent="0.3">
      <c r="A763" s="2">
        <v>759</v>
      </c>
      <c r="B763" s="2">
        <v>1</v>
      </c>
      <c r="C763" s="2">
        <v>37</v>
      </c>
      <c r="D763" s="2">
        <f t="shared" si="130"/>
        <v>1369</v>
      </c>
      <c r="E763" s="2">
        <v>69.928899999999999</v>
      </c>
      <c r="F763" s="2">
        <v>169.9753</v>
      </c>
      <c r="G763" s="2">
        <v>0.85911199999999999</v>
      </c>
      <c r="H763" s="2">
        <v>4</v>
      </c>
      <c r="I763" s="3">
        <f t="shared" si="121"/>
        <v>1.34115827223524</v>
      </c>
      <c r="J763" s="3">
        <f t="shared" si="122"/>
        <v>1.4211879948480377</v>
      </c>
      <c r="K763" s="3">
        <f t="shared" si="123"/>
        <v>-0.49182624920184015</v>
      </c>
      <c r="L763" s="3">
        <f t="shared" si="124"/>
        <v>-0.9885455452735713</v>
      </c>
      <c r="M763" s="3">
        <f t="shared" si="125"/>
        <v>1.2878899521151301</v>
      </c>
      <c r="N763" s="3">
        <f t="shared" si="126"/>
        <v>0.31391471423157125</v>
      </c>
      <c r="O763" s="3">
        <f t="shared" si="127"/>
        <v>-0.13891538945153142</v>
      </c>
      <c r="P763" s="3">
        <f t="shared" si="128"/>
        <v>0.46532689335949856</v>
      </c>
      <c r="Q763" s="3">
        <f t="shared" si="129"/>
        <v>-0.76501512390901383</v>
      </c>
      <c r="R763" s="3">
        <f t="shared" si="131"/>
        <v>0.53467310664050149</v>
      </c>
    </row>
    <row r="764" spans="1:18" x14ac:dyDescent="0.3">
      <c r="A764" s="2">
        <v>760</v>
      </c>
      <c r="B764" s="2">
        <v>0</v>
      </c>
      <c r="C764" s="2">
        <v>22</v>
      </c>
      <c r="D764" s="2">
        <f t="shared" si="130"/>
        <v>484</v>
      </c>
      <c r="E764" s="2">
        <v>63.2896</v>
      </c>
      <c r="F764" s="2">
        <v>168.9821</v>
      </c>
      <c r="G764" s="2">
        <v>0.500058</v>
      </c>
      <c r="H764" s="2">
        <v>5</v>
      </c>
      <c r="I764" s="3">
        <f t="shared" si="121"/>
        <v>-0.9529886183484757</v>
      </c>
      <c r="J764" s="3">
        <f t="shared" si="122"/>
        <v>-0.9550527886739022</v>
      </c>
      <c r="K764" s="3">
        <f t="shared" si="123"/>
        <v>-1.1629627753118719</v>
      </c>
      <c r="L764" s="3">
        <f t="shared" si="124"/>
        <v>-1.0889811834644387</v>
      </c>
      <c r="M764" s="3">
        <f t="shared" si="125"/>
        <v>3.3265178020946438E-2</v>
      </c>
      <c r="N764" s="3">
        <f t="shared" si="126"/>
        <v>0.90176998432814681</v>
      </c>
      <c r="O764" s="3">
        <f t="shared" si="127"/>
        <v>2.6916083402330898E-2</v>
      </c>
      <c r="P764" s="3">
        <f t="shared" si="128"/>
        <v>0.50672861462909136</v>
      </c>
      <c r="Q764" s="3">
        <f t="shared" si="129"/>
        <v>-0.70669577897078695</v>
      </c>
      <c r="R764" s="3">
        <f t="shared" si="131"/>
        <v>-0.50672861462909136</v>
      </c>
    </row>
    <row r="765" spans="1:18" x14ac:dyDescent="0.3">
      <c r="A765" s="2">
        <v>761</v>
      </c>
      <c r="B765" s="2">
        <v>1</v>
      </c>
      <c r="C765" s="2">
        <v>19</v>
      </c>
      <c r="D765" s="2">
        <f t="shared" si="130"/>
        <v>361</v>
      </c>
      <c r="E765" s="2">
        <v>87.078100000000006</v>
      </c>
      <c r="F765" s="2">
        <v>192.49780000000001</v>
      </c>
      <c r="G765" s="2">
        <v>0.67489299999999997</v>
      </c>
      <c r="H765" s="2">
        <v>5</v>
      </c>
      <c r="I765" s="3">
        <f t="shared" si="121"/>
        <v>-1.4118179964652189</v>
      </c>
      <c r="J765" s="3">
        <f t="shared" si="122"/>
        <v>-1.2853099823159346</v>
      </c>
      <c r="K765" s="3">
        <f t="shared" si="123"/>
        <v>1.2417080862802381</v>
      </c>
      <c r="L765" s="3">
        <f t="shared" si="124"/>
        <v>1.2890034490415807</v>
      </c>
      <c r="M765" s="3">
        <f t="shared" si="125"/>
        <v>0.64418253969567107</v>
      </c>
      <c r="N765" s="3">
        <f t="shared" si="126"/>
        <v>0.90176998432814681</v>
      </c>
      <c r="O765" s="3">
        <f t="shared" si="127"/>
        <v>0.30451427309874107</v>
      </c>
      <c r="P765" s="3">
        <f t="shared" si="128"/>
        <v>0.57554569579090187</v>
      </c>
      <c r="Q765" s="3">
        <f t="shared" si="129"/>
        <v>-0.55243665207679105</v>
      </c>
      <c r="R765" s="3">
        <f t="shared" si="131"/>
        <v>0.42445430420909813</v>
      </c>
    </row>
    <row r="766" spans="1:18" x14ac:dyDescent="0.3">
      <c r="A766" s="2">
        <v>762</v>
      </c>
      <c r="B766" s="2">
        <v>1</v>
      </c>
      <c r="C766" s="2">
        <v>23</v>
      </c>
      <c r="D766" s="2">
        <f t="shared" si="130"/>
        <v>529</v>
      </c>
      <c r="E766" s="2">
        <v>71.833500000000001</v>
      </c>
      <c r="F766" s="2">
        <v>164.84899999999999</v>
      </c>
      <c r="G766" s="2">
        <v>0.239066</v>
      </c>
      <c r="H766" s="2">
        <v>2</v>
      </c>
      <c r="I766" s="3">
        <f t="shared" si="121"/>
        <v>-0.80004549230956135</v>
      </c>
      <c r="J766" s="3">
        <f t="shared" si="122"/>
        <v>-0.83422698612193913</v>
      </c>
      <c r="K766" s="3">
        <f t="shared" si="123"/>
        <v>-0.29929893041384026</v>
      </c>
      <c r="L766" s="3">
        <f t="shared" si="124"/>
        <v>-1.5069337974461894</v>
      </c>
      <c r="M766" s="3">
        <f t="shared" si="125"/>
        <v>-0.87870636119150958</v>
      </c>
      <c r="N766" s="3">
        <f t="shared" si="126"/>
        <v>-0.86179582596158</v>
      </c>
      <c r="O766" s="3">
        <f t="shared" si="127"/>
        <v>0.11118630404437981</v>
      </c>
      <c r="P766" s="3">
        <f t="shared" si="128"/>
        <v>0.52776797534865305</v>
      </c>
      <c r="Q766" s="3">
        <f t="shared" si="129"/>
        <v>-0.63909853248575499</v>
      </c>
      <c r="R766" s="3">
        <f t="shared" si="131"/>
        <v>0.47223202465134695</v>
      </c>
    </row>
    <row r="767" spans="1:18" x14ac:dyDescent="0.3">
      <c r="A767" s="2">
        <v>763</v>
      </c>
      <c r="B767" s="2">
        <v>0</v>
      </c>
      <c r="C767" s="2">
        <v>38</v>
      </c>
      <c r="D767" s="2">
        <f t="shared" si="130"/>
        <v>1444</v>
      </c>
      <c r="E767" s="2">
        <v>83.7864</v>
      </c>
      <c r="F767" s="2">
        <v>192.17750000000001</v>
      </c>
      <c r="G767" s="2">
        <v>0.75804000000000005</v>
      </c>
      <c r="H767" s="2">
        <v>6</v>
      </c>
      <c r="I767" s="3">
        <f t="shared" si="121"/>
        <v>1.4941013982741542</v>
      </c>
      <c r="J767" s="3">
        <f t="shared" si="122"/>
        <v>1.6225643324346428</v>
      </c>
      <c r="K767" s="3">
        <f t="shared" si="123"/>
        <v>0.90896516112300829</v>
      </c>
      <c r="L767" s="3">
        <f t="shared" si="124"/>
        <v>1.256613663587961</v>
      </c>
      <c r="M767" s="3">
        <f t="shared" si="125"/>
        <v>0.93471902192845269</v>
      </c>
      <c r="N767" s="3">
        <f t="shared" si="126"/>
        <v>1.4896252544247224</v>
      </c>
      <c r="O767" s="3">
        <f t="shared" si="127"/>
        <v>9.4423794341663668E-3</v>
      </c>
      <c r="P767" s="3">
        <f t="shared" si="128"/>
        <v>0.50236057731976747</v>
      </c>
      <c r="Q767" s="3">
        <f t="shared" si="129"/>
        <v>-0.69787951505179879</v>
      </c>
      <c r="R767" s="3">
        <f t="shared" si="131"/>
        <v>-0.50236057731976747</v>
      </c>
    </row>
    <row r="768" spans="1:18" x14ac:dyDescent="0.3">
      <c r="A768" s="2">
        <v>764</v>
      </c>
      <c r="B768" s="2">
        <v>0</v>
      </c>
      <c r="C768" s="2">
        <v>19</v>
      </c>
      <c r="D768" s="2">
        <f t="shared" si="130"/>
        <v>361</v>
      </c>
      <c r="E768" s="2">
        <v>82.622</v>
      </c>
      <c r="F768" s="2">
        <v>171.31559999999999</v>
      </c>
      <c r="G768" s="2">
        <v>0.76000599999999996</v>
      </c>
      <c r="H768" s="2">
        <v>1</v>
      </c>
      <c r="I768" s="3">
        <f t="shared" si="121"/>
        <v>-1.4118179964652189</v>
      </c>
      <c r="J768" s="3">
        <f t="shared" si="122"/>
        <v>-1.2853099823159346</v>
      </c>
      <c r="K768" s="3">
        <f t="shared" si="123"/>
        <v>0.79126128104490945</v>
      </c>
      <c r="L768" s="3">
        <f t="shared" si="124"/>
        <v>-0.85301001781966679</v>
      </c>
      <c r="M768" s="3">
        <f t="shared" si="125"/>
        <v>0.94158871926052268</v>
      </c>
      <c r="N768" s="3">
        <f t="shared" si="126"/>
        <v>-1.4496510960581555</v>
      </c>
      <c r="O768" s="3">
        <f t="shared" si="127"/>
        <v>0.24548451136290939</v>
      </c>
      <c r="P768" s="3">
        <f t="shared" si="128"/>
        <v>0.56106477499582852</v>
      </c>
      <c r="Q768" s="3">
        <f t="shared" si="129"/>
        <v>-0.82340342803706645</v>
      </c>
      <c r="R768" s="3">
        <f t="shared" si="131"/>
        <v>-0.56106477499582852</v>
      </c>
    </row>
    <row r="769" spans="1:18" x14ac:dyDescent="0.3">
      <c r="A769" s="2">
        <v>765</v>
      </c>
      <c r="B769" s="2">
        <v>0</v>
      </c>
      <c r="C769" s="2">
        <v>30</v>
      </c>
      <c r="D769" s="2">
        <f t="shared" si="130"/>
        <v>900</v>
      </c>
      <c r="E769" s="2">
        <v>74.701099999999997</v>
      </c>
      <c r="F769" s="2">
        <v>173.14789999999999</v>
      </c>
      <c r="G769" s="2">
        <v>0.31259799999999999</v>
      </c>
      <c r="H769" s="2">
        <v>5</v>
      </c>
      <c r="I769" s="3">
        <f t="shared" si="121"/>
        <v>0.27055638996283926</v>
      </c>
      <c r="J769" s="3">
        <f t="shared" si="122"/>
        <v>0.16191463047313392</v>
      </c>
      <c r="K769" s="3">
        <f t="shared" si="123"/>
        <v>-9.4263380813467013E-3</v>
      </c>
      <c r="L769" s="3">
        <f t="shared" si="124"/>
        <v>-0.66772183834209287</v>
      </c>
      <c r="M769" s="3">
        <f t="shared" si="125"/>
        <v>-0.62176710166872617</v>
      </c>
      <c r="N769" s="3">
        <f t="shared" si="126"/>
        <v>0.90176998432814681</v>
      </c>
      <c r="O769" s="3">
        <f t="shared" si="127"/>
        <v>-8.4563156151539719E-3</v>
      </c>
      <c r="P769" s="3">
        <f t="shared" si="128"/>
        <v>0.49788593369414197</v>
      </c>
      <c r="Q769" s="3">
        <f t="shared" si="129"/>
        <v>-0.68892796138495793</v>
      </c>
      <c r="R769" s="3">
        <f t="shared" si="131"/>
        <v>-0.49788593369414197</v>
      </c>
    </row>
    <row r="770" spans="1:18" x14ac:dyDescent="0.3">
      <c r="A770" s="2">
        <v>766</v>
      </c>
      <c r="B770" s="2">
        <v>0</v>
      </c>
      <c r="C770" s="2">
        <v>28</v>
      </c>
      <c r="D770" s="2">
        <f t="shared" si="130"/>
        <v>784</v>
      </c>
      <c r="E770" s="2">
        <v>73.256900000000002</v>
      </c>
      <c r="F770" s="2">
        <v>178.48439999999999</v>
      </c>
      <c r="G770" s="2">
        <v>0.41068300000000002</v>
      </c>
      <c r="H770" s="2">
        <v>3</v>
      </c>
      <c r="I770" s="3">
        <f t="shared" si="121"/>
        <v>-3.5329862114989473E-2</v>
      </c>
      <c r="J770" s="3">
        <f t="shared" si="122"/>
        <v>-0.14954743832748191</v>
      </c>
      <c r="K770" s="3">
        <f t="shared" si="123"/>
        <v>-0.15541392276769986</v>
      </c>
      <c r="L770" s="3">
        <f t="shared" si="124"/>
        <v>-0.12807747345529941</v>
      </c>
      <c r="M770" s="3">
        <f t="shared" si="125"/>
        <v>-0.27903349901556518</v>
      </c>
      <c r="N770" s="3">
        <f t="shared" si="126"/>
        <v>-0.27394055586500432</v>
      </c>
      <c r="O770" s="3">
        <f t="shared" si="127"/>
        <v>2.0706196222128211E-2</v>
      </c>
      <c r="P770" s="3">
        <f t="shared" si="128"/>
        <v>0.50517636411116063</v>
      </c>
      <c r="Q770" s="3">
        <f t="shared" si="129"/>
        <v>-0.70355387103387079</v>
      </c>
      <c r="R770" s="3">
        <f t="shared" si="131"/>
        <v>-0.50517636411116063</v>
      </c>
    </row>
    <row r="771" spans="1:18" x14ac:dyDescent="0.3">
      <c r="A771" s="2">
        <v>767</v>
      </c>
      <c r="B771" s="2">
        <v>0</v>
      </c>
      <c r="C771" s="2">
        <v>28</v>
      </c>
      <c r="D771" s="2">
        <f t="shared" si="130"/>
        <v>784</v>
      </c>
      <c r="E771" s="2">
        <v>71.084400000000002</v>
      </c>
      <c r="F771" s="2">
        <v>172.96350000000001</v>
      </c>
      <c r="G771" s="2">
        <v>0.20968999999999999</v>
      </c>
      <c r="H771" s="2">
        <v>1</v>
      </c>
      <c r="I771" s="3">
        <f t="shared" si="121"/>
        <v>-3.5329862114989473E-2</v>
      </c>
      <c r="J771" s="3">
        <f t="shared" si="122"/>
        <v>-0.14954743832748191</v>
      </c>
      <c r="K771" s="3">
        <f t="shared" si="123"/>
        <v>-0.37502202949190927</v>
      </c>
      <c r="L771" s="3">
        <f t="shared" si="124"/>
        <v>-0.68636897052331935</v>
      </c>
      <c r="M771" s="3">
        <f t="shared" si="125"/>
        <v>-0.98135347656632999</v>
      </c>
      <c r="N771" s="3">
        <f t="shared" si="126"/>
        <v>-1.4496510960581555</v>
      </c>
      <c r="O771" s="3">
        <f t="shared" si="127"/>
        <v>3.9612297581936282E-2</v>
      </c>
      <c r="P771" s="3">
        <f t="shared" si="128"/>
        <v>0.5099017796609846</v>
      </c>
      <c r="Q771" s="3">
        <f t="shared" si="129"/>
        <v>-0.71314945829335585</v>
      </c>
      <c r="R771" s="3">
        <f t="shared" si="131"/>
        <v>-0.5099017796609846</v>
      </c>
    </row>
    <row r="772" spans="1:18" x14ac:dyDescent="0.3">
      <c r="A772" s="2">
        <v>768</v>
      </c>
      <c r="B772" s="2">
        <v>1</v>
      </c>
      <c r="C772" s="2">
        <v>33</v>
      </c>
      <c r="D772" s="2">
        <f t="shared" si="130"/>
        <v>1089</v>
      </c>
      <c r="E772" s="2">
        <v>74.848100000000002</v>
      </c>
      <c r="F772" s="2">
        <v>189.31979999999999</v>
      </c>
      <c r="G772" s="2">
        <v>0.97656100000000001</v>
      </c>
      <c r="H772" s="2">
        <v>1</v>
      </c>
      <c r="I772" s="3">
        <f t="shared" si="121"/>
        <v>0.72938576807958244</v>
      </c>
      <c r="J772" s="3">
        <f t="shared" si="122"/>
        <v>0.66938300119137872</v>
      </c>
      <c r="K772" s="3">
        <f t="shared" si="123"/>
        <v>5.4332208086233869E-3</v>
      </c>
      <c r="L772" s="3">
        <f t="shared" si="124"/>
        <v>0.96763367641715581</v>
      </c>
      <c r="M772" s="3">
        <f t="shared" si="125"/>
        <v>1.6982862298131582</v>
      </c>
      <c r="N772" s="3">
        <f t="shared" si="126"/>
        <v>-1.4496510960581555</v>
      </c>
      <c r="O772" s="3">
        <f t="shared" si="127"/>
        <v>-5.604423025101879E-2</v>
      </c>
      <c r="P772" s="3">
        <f t="shared" si="128"/>
        <v>0.48599260862836002</v>
      </c>
      <c r="Q772" s="3">
        <f t="shared" si="129"/>
        <v>-0.72156186378091636</v>
      </c>
      <c r="R772" s="3">
        <f t="shared" si="131"/>
        <v>0.51400739137163998</v>
      </c>
    </row>
    <row r="773" spans="1:18" x14ac:dyDescent="0.3">
      <c r="A773" s="2">
        <v>769</v>
      </c>
      <c r="B773" s="2">
        <v>0</v>
      </c>
      <c r="C773" s="2">
        <v>28</v>
      </c>
      <c r="D773" s="2">
        <f t="shared" si="130"/>
        <v>784</v>
      </c>
      <c r="E773" s="2">
        <v>83.631</v>
      </c>
      <c r="F773" s="2">
        <v>198.13339999999999</v>
      </c>
      <c r="G773" s="2">
        <v>0.64560300000000004</v>
      </c>
      <c r="H773" s="2">
        <v>5</v>
      </c>
      <c r="I773" s="3">
        <f t="shared" ref="I773:I836" si="132">(C773-$V$3)/$W$3</f>
        <v>-3.5329862114989473E-2</v>
      </c>
      <c r="J773" s="3">
        <f t="shared" ref="J773:J836" si="133" xml:space="preserve"> (D773- $V$8)/$W$8</f>
        <v>-0.14954743832748191</v>
      </c>
      <c r="K773" s="3">
        <f t="shared" ref="K773:K836" si="134">(E773-$V$4)/$W$4</f>
        <v>0.89325648458218332</v>
      </c>
      <c r="L773" s="3">
        <f t="shared" ref="L773:L836" si="135">(F773-$V$5)/$W$5</f>
        <v>1.8588937859208092</v>
      </c>
      <c r="M773" s="3">
        <f t="shared" ref="M773:M836" si="136">(G773-$V$6)/$W$6</f>
        <v>0.54183592990099239</v>
      </c>
      <c r="N773" s="3">
        <f t="shared" ref="N773:N836" si="137">(H773-$V$7)/$W$7</f>
        <v>0.90176998432814681</v>
      </c>
      <c r="O773" s="3">
        <f t="shared" ref="O773:O836" si="138">$V$11+$V$12*I773+$V$17*J773+$V$13*K773+$V$14*L773+$V$15*M773+$V$16*N773</f>
        <v>8.4228719141540564E-2</v>
      </c>
      <c r="P773" s="3">
        <f t="shared" ref="P773:P836" si="139">1/(1+EXP(-O773))</f>
        <v>0.52104473947103214</v>
      </c>
      <c r="Q773" s="3">
        <f t="shared" ref="Q773:Q836" si="140">B773*LN(P773)+(1-B773)*LN(1-P773)</f>
        <v>-0.73614808775188201</v>
      </c>
      <c r="R773" s="3">
        <f t="shared" si="131"/>
        <v>-0.52104473947103214</v>
      </c>
    </row>
    <row r="774" spans="1:18" x14ac:dyDescent="0.3">
      <c r="A774" s="2">
        <v>770</v>
      </c>
      <c r="B774" s="2">
        <v>0</v>
      </c>
      <c r="C774" s="2">
        <v>36</v>
      </c>
      <c r="D774" s="2">
        <f t="shared" ref="D774:D837" si="141">C774^2</f>
        <v>1296</v>
      </c>
      <c r="E774" s="2">
        <v>67.035600000000002</v>
      </c>
      <c r="F774" s="2">
        <v>173.42570000000001</v>
      </c>
      <c r="G774" s="2">
        <v>0.93454400000000004</v>
      </c>
      <c r="H774" s="2">
        <v>3</v>
      </c>
      <c r="I774" s="3">
        <f t="shared" si="132"/>
        <v>1.1882151461963255</v>
      </c>
      <c r="J774" s="3">
        <f t="shared" si="133"/>
        <v>1.2251816929304087</v>
      </c>
      <c r="K774" s="3">
        <f t="shared" si="134"/>
        <v>-0.78429673720421278</v>
      </c>
      <c r="L774" s="3">
        <f t="shared" si="135"/>
        <v>-0.63962979213848403</v>
      </c>
      <c r="M774" s="3">
        <f t="shared" si="136"/>
        <v>1.5514682884084803</v>
      </c>
      <c r="N774" s="3">
        <f t="shared" si="137"/>
        <v>-0.27394055586500432</v>
      </c>
      <c r="O774" s="3">
        <f t="shared" si="138"/>
        <v>-0.15675024685164732</v>
      </c>
      <c r="P774" s="3">
        <f t="shared" si="139"/>
        <v>0.4608924802468673</v>
      </c>
      <c r="Q774" s="3">
        <f t="shared" si="140"/>
        <v>-0.617840247905171</v>
      </c>
      <c r="R774" s="3">
        <f t="shared" ref="R774:R837" si="142">B774-P774</f>
        <v>-0.4608924802468673</v>
      </c>
    </row>
    <row r="775" spans="1:18" x14ac:dyDescent="0.3">
      <c r="A775" s="2">
        <v>771</v>
      </c>
      <c r="B775" s="2">
        <v>0</v>
      </c>
      <c r="C775" s="2">
        <v>32</v>
      </c>
      <c r="D775" s="2">
        <f t="shared" si="141"/>
        <v>1024</v>
      </c>
      <c r="E775" s="2">
        <v>76.088499999999996</v>
      </c>
      <c r="F775" s="2">
        <v>175.67760000000001</v>
      </c>
      <c r="G775" s="2">
        <v>0.30338599999999999</v>
      </c>
      <c r="H775" s="2">
        <v>2</v>
      </c>
      <c r="I775" s="3">
        <f t="shared" si="132"/>
        <v>0.57644264204066809</v>
      </c>
      <c r="J775" s="3">
        <f t="shared" si="133"/>
        <v>0.49485684194965435</v>
      </c>
      <c r="K775" s="3">
        <f t="shared" si="134"/>
        <v>0.13081959391827039</v>
      </c>
      <c r="L775" s="3">
        <f t="shared" si="135"/>
        <v>-0.41191028585373313</v>
      </c>
      <c r="M775" s="3">
        <f t="shared" si="136"/>
        <v>-0.65395614125317758</v>
      </c>
      <c r="N775" s="3">
        <f t="shared" si="137"/>
        <v>-0.86179582596158</v>
      </c>
      <c r="O775" s="3">
        <f t="shared" si="138"/>
        <v>1.6733132397764E-2</v>
      </c>
      <c r="P775" s="3">
        <f t="shared" si="139"/>
        <v>0.50418318549302976</v>
      </c>
      <c r="Q775" s="3">
        <f t="shared" si="140"/>
        <v>-0.70154874606548823</v>
      </c>
      <c r="R775" s="3">
        <f t="shared" si="142"/>
        <v>-0.50418318549302976</v>
      </c>
    </row>
    <row r="776" spans="1:18" x14ac:dyDescent="0.3">
      <c r="A776" s="2">
        <v>772</v>
      </c>
      <c r="B776" s="2">
        <v>1</v>
      </c>
      <c r="C776" s="2">
        <v>33</v>
      </c>
      <c r="D776" s="2">
        <f t="shared" si="141"/>
        <v>1089</v>
      </c>
      <c r="E776" s="2">
        <v>63.813699999999997</v>
      </c>
      <c r="F776" s="2">
        <v>178.36680000000001</v>
      </c>
      <c r="G776" s="2">
        <v>0.781891</v>
      </c>
      <c r="H776" s="2">
        <v>5</v>
      </c>
      <c r="I776" s="3">
        <f t="shared" si="132"/>
        <v>0.72938576807958244</v>
      </c>
      <c r="J776" s="3">
        <f t="shared" si="133"/>
        <v>0.66938300119137872</v>
      </c>
      <c r="K776" s="3">
        <f t="shared" si="134"/>
        <v>-1.1099838990245725</v>
      </c>
      <c r="L776" s="3">
        <f t="shared" si="135"/>
        <v>-0.13996957076827177</v>
      </c>
      <c r="M776" s="3">
        <f t="shared" si="136"/>
        <v>1.0180604009046521</v>
      </c>
      <c r="N776" s="3">
        <f t="shared" si="137"/>
        <v>0.90176998432814681</v>
      </c>
      <c r="O776" s="3">
        <f t="shared" si="138"/>
        <v>-0.15872193943809465</v>
      </c>
      <c r="P776" s="3">
        <f t="shared" si="139"/>
        <v>0.46040261053473069</v>
      </c>
      <c r="Q776" s="3">
        <f t="shared" si="140"/>
        <v>-0.775653932005544</v>
      </c>
      <c r="R776" s="3">
        <f t="shared" si="142"/>
        <v>0.53959738946526925</v>
      </c>
    </row>
    <row r="777" spans="1:18" x14ac:dyDescent="0.3">
      <c r="A777" s="2">
        <v>773</v>
      </c>
      <c r="B777" s="2">
        <v>0</v>
      </c>
      <c r="C777" s="2">
        <v>28</v>
      </c>
      <c r="D777" s="2">
        <f t="shared" si="141"/>
        <v>784</v>
      </c>
      <c r="E777" s="2">
        <v>65.058899999999994</v>
      </c>
      <c r="F777" s="2">
        <v>185.41059999999999</v>
      </c>
      <c r="G777" s="2">
        <v>0.76585899999999996</v>
      </c>
      <c r="H777" s="2">
        <v>3</v>
      </c>
      <c r="I777" s="3">
        <f t="shared" si="132"/>
        <v>-3.5329862114989473E-2</v>
      </c>
      <c r="J777" s="3">
        <f t="shared" si="133"/>
        <v>-0.14954743832748191</v>
      </c>
      <c r="K777" s="3">
        <f t="shared" si="134"/>
        <v>-0.98411231582872216</v>
      </c>
      <c r="L777" s="3">
        <f t="shared" si="135"/>
        <v>0.57232256403723414</v>
      </c>
      <c r="M777" s="3">
        <f t="shared" si="136"/>
        <v>0.96204056996479914</v>
      </c>
      <c r="N777" s="3">
        <f t="shared" si="137"/>
        <v>-0.27394055586500432</v>
      </c>
      <c r="O777" s="3">
        <f t="shared" si="138"/>
        <v>-7.0134360423715902E-2</v>
      </c>
      <c r="P777" s="3">
        <f t="shared" si="139"/>
        <v>0.48247359342088242</v>
      </c>
      <c r="Q777" s="3">
        <f t="shared" si="140"/>
        <v>-0.65869472793843209</v>
      </c>
      <c r="R777" s="3">
        <f t="shared" si="142"/>
        <v>-0.48247359342088242</v>
      </c>
    </row>
    <row r="778" spans="1:18" x14ac:dyDescent="0.3">
      <c r="A778" s="2">
        <v>774</v>
      </c>
      <c r="B778" s="2">
        <v>1</v>
      </c>
      <c r="C778" s="2">
        <v>39</v>
      </c>
      <c r="D778" s="2">
        <f t="shared" si="141"/>
        <v>1521</v>
      </c>
      <c r="E778" s="2">
        <v>74.690600000000003</v>
      </c>
      <c r="F778" s="2">
        <v>178.46520000000001</v>
      </c>
      <c r="G778" s="2">
        <v>0.69165600000000005</v>
      </c>
      <c r="H778" s="2">
        <v>1</v>
      </c>
      <c r="I778" s="3">
        <f t="shared" si="132"/>
        <v>1.6470445243130687</v>
      </c>
      <c r="J778" s="3">
        <f t="shared" si="133"/>
        <v>1.829310705690224</v>
      </c>
      <c r="K778" s="3">
        <f t="shared" si="134"/>
        <v>-1.0487735144915276E-2</v>
      </c>
      <c r="L778" s="3">
        <f t="shared" si="135"/>
        <v>-0.13001904036353842</v>
      </c>
      <c r="M778" s="3">
        <f t="shared" si="136"/>
        <v>0.70275666806672643</v>
      </c>
      <c r="N778" s="3">
        <f t="shared" si="137"/>
        <v>-1.4496510960581555</v>
      </c>
      <c r="O778" s="3">
        <f t="shared" si="138"/>
        <v>-2.4136033062698292E-2</v>
      </c>
      <c r="P778" s="3">
        <f t="shared" si="139"/>
        <v>0.49396628464226228</v>
      </c>
      <c r="Q778" s="3">
        <f t="shared" si="140"/>
        <v>-0.70528801383535178</v>
      </c>
      <c r="R778" s="3">
        <f t="shared" si="142"/>
        <v>0.50603371535773767</v>
      </c>
    </row>
    <row r="779" spans="1:18" x14ac:dyDescent="0.3">
      <c r="A779" s="2">
        <v>775</v>
      </c>
      <c r="B779" s="2">
        <v>0</v>
      </c>
      <c r="C779" s="2">
        <v>33</v>
      </c>
      <c r="D779" s="2">
        <f t="shared" si="141"/>
        <v>1089</v>
      </c>
      <c r="E779" s="2">
        <v>55.398400000000002</v>
      </c>
      <c r="F779" s="2">
        <v>193.87260000000001</v>
      </c>
      <c r="G779" s="2">
        <v>0.96563900000000003</v>
      </c>
      <c r="H779" s="2">
        <v>3</v>
      </c>
      <c r="I779" s="3">
        <f t="shared" si="132"/>
        <v>0.72938576807958244</v>
      </c>
      <c r="J779" s="3">
        <f t="shared" si="133"/>
        <v>0.66938300119137872</v>
      </c>
      <c r="K779" s="3">
        <f t="shared" si="134"/>
        <v>-1.9606481570297458</v>
      </c>
      <c r="L779" s="3">
        <f t="shared" si="135"/>
        <v>1.4280277295337309</v>
      </c>
      <c r="M779" s="3">
        <f t="shared" si="136"/>
        <v>1.6601220211351972</v>
      </c>
      <c r="N779" s="3">
        <f t="shared" si="137"/>
        <v>-0.27394055586500432</v>
      </c>
      <c r="O779" s="3">
        <f t="shared" si="138"/>
        <v>-0.18903986174263393</v>
      </c>
      <c r="P779" s="3">
        <f t="shared" si="139"/>
        <v>0.45288027387558172</v>
      </c>
      <c r="Q779" s="3">
        <f t="shared" si="140"/>
        <v>-0.60308762276922701</v>
      </c>
      <c r="R779" s="3">
        <f t="shared" si="142"/>
        <v>-0.45288027387558172</v>
      </c>
    </row>
    <row r="780" spans="1:18" x14ac:dyDescent="0.3">
      <c r="A780" s="2">
        <v>776</v>
      </c>
      <c r="B780" s="2">
        <v>0</v>
      </c>
      <c r="C780" s="2">
        <v>25</v>
      </c>
      <c r="D780" s="2">
        <f t="shared" si="141"/>
        <v>625</v>
      </c>
      <c r="E780" s="2">
        <v>95.605599999999995</v>
      </c>
      <c r="F780" s="2">
        <v>191.46619999999999</v>
      </c>
      <c r="G780" s="2">
        <v>0.39355499999999999</v>
      </c>
      <c r="H780" s="2">
        <v>1</v>
      </c>
      <c r="I780" s="3">
        <f t="shared" si="132"/>
        <v>-0.49415924023173263</v>
      </c>
      <c r="J780" s="3">
        <f t="shared" si="133"/>
        <v>-0.57646527401108472</v>
      </c>
      <c r="K780" s="3">
        <f t="shared" si="134"/>
        <v>2.1037141300504079</v>
      </c>
      <c r="L780" s="3">
        <f t="shared" si="135"/>
        <v>1.1846846770342294</v>
      </c>
      <c r="M780" s="3">
        <f t="shared" si="136"/>
        <v>-0.33888302897675548</v>
      </c>
      <c r="N780" s="3">
        <f t="shared" si="137"/>
        <v>-1.4496510960581555</v>
      </c>
      <c r="O780" s="3">
        <f t="shared" si="138"/>
        <v>0.27071512045970031</v>
      </c>
      <c r="P780" s="3">
        <f t="shared" si="139"/>
        <v>0.56726845756533006</v>
      </c>
      <c r="Q780" s="3">
        <f t="shared" si="140"/>
        <v>-0.83763773763284421</v>
      </c>
      <c r="R780" s="3">
        <f t="shared" si="142"/>
        <v>-0.56726845756533006</v>
      </c>
    </row>
    <row r="781" spans="1:18" x14ac:dyDescent="0.3">
      <c r="A781" s="2">
        <v>777</v>
      </c>
      <c r="B781" s="2">
        <v>1</v>
      </c>
      <c r="C781" s="2">
        <v>21</v>
      </c>
      <c r="D781" s="2">
        <f t="shared" si="141"/>
        <v>441</v>
      </c>
      <c r="E781" s="2">
        <v>63.069400000000002</v>
      </c>
      <c r="F781" s="2">
        <v>168.1454</v>
      </c>
      <c r="G781" s="2">
        <v>0.130717</v>
      </c>
      <c r="H781" s="2">
        <v>5</v>
      </c>
      <c r="I781" s="3">
        <f t="shared" si="132"/>
        <v>-1.1059317443873902</v>
      </c>
      <c r="J781" s="3">
        <f t="shared" si="133"/>
        <v>-1.0705085555568892</v>
      </c>
      <c r="K781" s="3">
        <f t="shared" si="134"/>
        <v>-1.1852217880164382</v>
      </c>
      <c r="L781" s="3">
        <f t="shared" si="135"/>
        <v>-1.1735910288876157</v>
      </c>
      <c r="M781" s="3">
        <f t="shared" si="136"/>
        <v>-1.2573049554094564</v>
      </c>
      <c r="N781" s="3">
        <f t="shared" si="137"/>
        <v>0.90176998432814681</v>
      </c>
      <c r="O781" s="3">
        <f t="shared" si="138"/>
        <v>0.10648558098568883</v>
      </c>
      <c r="P781" s="3">
        <f t="shared" si="139"/>
        <v>0.5265962683408183</v>
      </c>
      <c r="Q781" s="3">
        <f t="shared" si="140"/>
        <v>-0.64132111827086546</v>
      </c>
      <c r="R781" s="3">
        <f t="shared" si="142"/>
        <v>0.4734037316591817</v>
      </c>
    </row>
    <row r="782" spans="1:18" x14ac:dyDescent="0.3">
      <c r="A782" s="2">
        <v>778</v>
      </c>
      <c r="B782" s="2">
        <v>0</v>
      </c>
      <c r="C782" s="2">
        <v>25</v>
      </c>
      <c r="D782" s="2">
        <f t="shared" si="141"/>
        <v>625</v>
      </c>
      <c r="E782" s="2">
        <v>74.599100000000007</v>
      </c>
      <c r="F782" s="2">
        <v>185.2097</v>
      </c>
      <c r="G782" s="2">
        <v>0.671709</v>
      </c>
      <c r="H782" s="2">
        <v>6</v>
      </c>
      <c r="I782" s="3">
        <f t="shared" si="132"/>
        <v>-0.49415924023173263</v>
      </c>
      <c r="J782" s="3">
        <f t="shared" si="133"/>
        <v>-0.57646527401108472</v>
      </c>
      <c r="K782" s="3">
        <f t="shared" si="134"/>
        <v>-1.9737052413161246E-2</v>
      </c>
      <c r="L782" s="3">
        <f t="shared" si="135"/>
        <v>0.55200689779423751</v>
      </c>
      <c r="M782" s="3">
        <f t="shared" si="136"/>
        <v>0.6330568447285746</v>
      </c>
      <c r="N782" s="3">
        <f t="shared" si="137"/>
        <v>1.4896252544247224</v>
      </c>
      <c r="O782" s="3">
        <f t="shared" si="138"/>
        <v>3.4544668290849484E-2</v>
      </c>
      <c r="P782" s="3">
        <f t="shared" si="139"/>
        <v>0.50863530835579218</v>
      </c>
      <c r="Q782" s="3">
        <f t="shared" si="140"/>
        <v>-0.71056867405246793</v>
      </c>
      <c r="R782" s="3">
        <f t="shared" si="142"/>
        <v>-0.50863530835579218</v>
      </c>
    </row>
    <row r="783" spans="1:18" x14ac:dyDescent="0.3">
      <c r="A783" s="2">
        <v>779</v>
      </c>
      <c r="B783" s="2">
        <v>0</v>
      </c>
      <c r="C783" s="2">
        <v>21</v>
      </c>
      <c r="D783" s="2">
        <f t="shared" si="141"/>
        <v>441</v>
      </c>
      <c r="E783" s="2">
        <v>86.682199999999995</v>
      </c>
      <c r="F783" s="2">
        <v>195.20339999999999</v>
      </c>
      <c r="G783" s="2">
        <v>0.72931000000000001</v>
      </c>
      <c r="H783" s="2">
        <v>5</v>
      </c>
      <c r="I783" s="3">
        <f t="shared" si="132"/>
        <v>-1.1059317443873902</v>
      </c>
      <c r="J783" s="3">
        <f t="shared" si="133"/>
        <v>-1.0705085555568892</v>
      </c>
      <c r="K783" s="3">
        <f t="shared" si="134"/>
        <v>1.2016883627119448</v>
      </c>
      <c r="L783" s="3">
        <f t="shared" si="135"/>
        <v>1.5626025858611619</v>
      </c>
      <c r="M783" s="3">
        <f t="shared" si="136"/>
        <v>0.83432919265562488</v>
      </c>
      <c r="N783" s="3">
        <f t="shared" si="137"/>
        <v>0.90176998432814681</v>
      </c>
      <c r="O783" s="3">
        <f t="shared" si="138"/>
        <v>0.2374941189975403</v>
      </c>
      <c r="P783" s="3">
        <f t="shared" si="139"/>
        <v>0.55909602219074117</v>
      </c>
      <c r="Q783" s="3">
        <f t="shared" si="140"/>
        <v>-0.81892816463748985</v>
      </c>
      <c r="R783" s="3">
        <f t="shared" si="142"/>
        <v>-0.55909602219074117</v>
      </c>
    </row>
    <row r="784" spans="1:18" x14ac:dyDescent="0.3">
      <c r="A784" s="2">
        <v>780</v>
      </c>
      <c r="B784" s="2">
        <v>1</v>
      </c>
      <c r="C784" s="2">
        <v>20</v>
      </c>
      <c r="D784" s="2">
        <f t="shared" si="141"/>
        <v>400</v>
      </c>
      <c r="E784" s="2">
        <v>66.370900000000006</v>
      </c>
      <c r="F784" s="2">
        <v>175.0522</v>
      </c>
      <c r="G784" s="2">
        <v>0.57506100000000004</v>
      </c>
      <c r="H784" s="2">
        <v>4</v>
      </c>
      <c r="I784" s="3">
        <f t="shared" si="132"/>
        <v>-1.2588748704263044</v>
      </c>
      <c r="J784" s="3">
        <f t="shared" si="133"/>
        <v>-1.1805942867708998</v>
      </c>
      <c r="K784" s="3">
        <f t="shared" si="134"/>
        <v>-0.85148822559987736</v>
      </c>
      <c r="L784" s="3">
        <f t="shared" si="135"/>
        <v>-0.47515278295861607</v>
      </c>
      <c r="M784" s="3">
        <f t="shared" si="136"/>
        <v>0.29534448066452124</v>
      </c>
      <c r="N784" s="3">
        <f t="shared" si="137"/>
        <v>0.31391471423157125</v>
      </c>
      <c r="O784" s="3">
        <f t="shared" si="138"/>
        <v>0.11702819413001278</v>
      </c>
      <c r="P784" s="3">
        <f t="shared" si="139"/>
        <v>0.52922370313512168</v>
      </c>
      <c r="Q784" s="3">
        <f t="shared" si="140"/>
        <v>-0.63634405723963605</v>
      </c>
      <c r="R784" s="3">
        <f t="shared" si="142"/>
        <v>0.47077629686487832</v>
      </c>
    </row>
    <row r="785" spans="1:18" x14ac:dyDescent="0.3">
      <c r="A785" s="2">
        <v>781</v>
      </c>
      <c r="B785" s="2">
        <v>0</v>
      </c>
      <c r="C785" s="2">
        <v>20</v>
      </c>
      <c r="D785" s="2">
        <f t="shared" si="141"/>
        <v>400</v>
      </c>
      <c r="E785" s="2">
        <v>51.972999999999999</v>
      </c>
      <c r="F785" s="2">
        <v>177.0574</v>
      </c>
      <c r="G785" s="2">
        <v>0.206818</v>
      </c>
      <c r="H785" s="2">
        <v>4</v>
      </c>
      <c r="I785" s="3">
        <f t="shared" si="132"/>
        <v>-1.2588748704263044</v>
      </c>
      <c r="J785" s="3">
        <f t="shared" si="133"/>
        <v>-1.1805942867708998</v>
      </c>
      <c r="K785" s="3">
        <f t="shared" si="134"/>
        <v>-2.3069062047964239</v>
      </c>
      <c r="L785" s="3">
        <f t="shared" si="135"/>
        <v>-0.27238038897922895</v>
      </c>
      <c r="M785" s="3">
        <f t="shared" si="136"/>
        <v>-0.99138896524268083</v>
      </c>
      <c r="N785" s="3">
        <f t="shared" si="137"/>
        <v>0.31391471423157125</v>
      </c>
      <c r="O785" s="3">
        <f t="shared" si="138"/>
        <v>8.0999368629216958E-2</v>
      </c>
      <c r="P785" s="3">
        <f t="shared" si="139"/>
        <v>0.52023877798773555</v>
      </c>
      <c r="Q785" s="3">
        <f t="shared" si="140"/>
        <v>-0.73446675299267616</v>
      </c>
      <c r="R785" s="3">
        <f t="shared" si="142"/>
        <v>-0.52023877798773555</v>
      </c>
    </row>
    <row r="786" spans="1:18" x14ac:dyDescent="0.3">
      <c r="A786" s="2">
        <v>782</v>
      </c>
      <c r="B786" s="2">
        <v>1</v>
      </c>
      <c r="C786" s="2">
        <v>35</v>
      </c>
      <c r="D786" s="2">
        <f t="shared" si="141"/>
        <v>1225</v>
      </c>
      <c r="E786" s="2">
        <v>70.5505</v>
      </c>
      <c r="F786" s="2">
        <v>174.71960000000001</v>
      </c>
      <c r="G786" s="2">
        <v>0.50445600000000002</v>
      </c>
      <c r="H786" s="2">
        <v>4</v>
      </c>
      <c r="I786" s="3">
        <f t="shared" si="132"/>
        <v>1.0352720201574113</v>
      </c>
      <c r="J786" s="3">
        <f t="shared" si="133"/>
        <v>1.034545426681756</v>
      </c>
      <c r="K786" s="3">
        <f t="shared" si="134"/>
        <v>-0.42899154303854037</v>
      </c>
      <c r="L786" s="3">
        <f t="shared" si="135"/>
        <v>-0.50878638471282567</v>
      </c>
      <c r="M786" s="3">
        <f t="shared" si="136"/>
        <v>4.8632893619341769E-2</v>
      </c>
      <c r="N786" s="3">
        <f t="shared" si="137"/>
        <v>0.31391471423157125</v>
      </c>
      <c r="O786" s="3">
        <f t="shared" si="138"/>
        <v>-7.6368047050613522E-2</v>
      </c>
      <c r="P786" s="3">
        <f t="shared" si="139"/>
        <v>0.48091726167182997</v>
      </c>
      <c r="Q786" s="3">
        <f t="shared" si="140"/>
        <v>-0.7320600368286142</v>
      </c>
      <c r="R786" s="3">
        <f t="shared" si="142"/>
        <v>0.51908273832816998</v>
      </c>
    </row>
    <row r="787" spans="1:18" x14ac:dyDescent="0.3">
      <c r="A787" s="2">
        <v>783</v>
      </c>
      <c r="B787" s="2">
        <v>1</v>
      </c>
      <c r="C787" s="2">
        <v>36</v>
      </c>
      <c r="D787" s="2">
        <f t="shared" si="141"/>
        <v>1296</v>
      </c>
      <c r="E787" s="2">
        <v>66.251800000000003</v>
      </c>
      <c r="F787" s="2">
        <v>174.92920000000001</v>
      </c>
      <c r="G787" s="2">
        <v>0.31219000000000002</v>
      </c>
      <c r="H787" s="2">
        <v>5</v>
      </c>
      <c r="I787" s="3">
        <f t="shared" si="132"/>
        <v>1.1882151461963255</v>
      </c>
      <c r="J787" s="3">
        <f t="shared" si="133"/>
        <v>1.2251816929304087</v>
      </c>
      <c r="K787" s="3">
        <f t="shared" si="134"/>
        <v>-0.86352750086379171</v>
      </c>
      <c r="L787" s="3">
        <f t="shared" si="135"/>
        <v>-0.48759094596453201</v>
      </c>
      <c r="M787" s="3">
        <f t="shared" si="136"/>
        <v>-0.62319275604893187</v>
      </c>
      <c r="N787" s="3">
        <f t="shared" si="137"/>
        <v>0.90176998432814681</v>
      </c>
      <c r="O787" s="3">
        <f t="shared" si="138"/>
        <v>-8.239115175895953E-2</v>
      </c>
      <c r="P787" s="3">
        <f t="shared" si="139"/>
        <v>0.47941385615619042</v>
      </c>
      <c r="Q787" s="3">
        <f t="shared" si="140"/>
        <v>-0.73519105427857567</v>
      </c>
      <c r="R787" s="3">
        <f t="shared" si="142"/>
        <v>0.52058614384380952</v>
      </c>
    </row>
    <row r="788" spans="1:18" x14ac:dyDescent="0.3">
      <c r="A788" s="2">
        <v>784</v>
      </c>
      <c r="B788" s="2">
        <v>1</v>
      </c>
      <c r="C788" s="2">
        <v>36</v>
      </c>
      <c r="D788" s="2">
        <f t="shared" si="141"/>
        <v>1296</v>
      </c>
      <c r="E788" s="2">
        <v>52.2363</v>
      </c>
      <c r="F788" s="2">
        <v>163.31549999999999</v>
      </c>
      <c r="G788" s="2">
        <v>0.42746699999999999</v>
      </c>
      <c r="H788" s="2">
        <v>2</v>
      </c>
      <c r="I788" s="3">
        <f t="shared" si="132"/>
        <v>1.1882151461963255</v>
      </c>
      <c r="J788" s="3">
        <f t="shared" si="133"/>
        <v>1.2251816929304087</v>
      </c>
      <c r="K788" s="3">
        <f t="shared" si="134"/>
        <v>-2.2802904098594921</v>
      </c>
      <c r="L788" s="3">
        <f t="shared" si="135"/>
        <v>-1.6620063419142677</v>
      </c>
      <c r="M788" s="3">
        <f t="shared" si="136"/>
        <v>-0.22038599137494083</v>
      </c>
      <c r="N788" s="3">
        <f t="shared" si="137"/>
        <v>-0.86179582596158</v>
      </c>
      <c r="O788" s="3">
        <f t="shared" si="138"/>
        <v>-0.19502101465956684</v>
      </c>
      <c r="P788" s="3">
        <f t="shared" si="139"/>
        <v>0.45139868738512556</v>
      </c>
      <c r="Q788" s="3">
        <f t="shared" si="140"/>
        <v>-0.79540432247814985</v>
      </c>
      <c r="R788" s="3">
        <f t="shared" si="142"/>
        <v>0.54860131261487444</v>
      </c>
    </row>
    <row r="789" spans="1:18" x14ac:dyDescent="0.3">
      <c r="A789" s="2">
        <v>785</v>
      </c>
      <c r="B789" s="2">
        <v>1</v>
      </c>
      <c r="C789" s="2">
        <v>38</v>
      </c>
      <c r="D789" s="2">
        <f t="shared" si="141"/>
        <v>1444</v>
      </c>
      <c r="E789" s="2">
        <v>77.8489</v>
      </c>
      <c r="F789" s="2">
        <v>166.71690000000001</v>
      </c>
      <c r="G789" s="2">
        <v>0.64521899999999999</v>
      </c>
      <c r="H789" s="2">
        <v>5</v>
      </c>
      <c r="I789" s="3">
        <f t="shared" si="132"/>
        <v>1.4941013982741542</v>
      </c>
      <c r="J789" s="3">
        <f t="shared" si="133"/>
        <v>1.6225643324346428</v>
      </c>
      <c r="K789" s="3">
        <f t="shared" si="134"/>
        <v>0.30877039303325282</v>
      </c>
      <c r="L789" s="3">
        <f t="shared" si="135"/>
        <v>-1.3180456293262508</v>
      </c>
      <c r="M789" s="3">
        <f t="shared" si="136"/>
        <v>0.54049413754315145</v>
      </c>
      <c r="N789" s="3">
        <f t="shared" si="137"/>
        <v>0.90176998432814681</v>
      </c>
      <c r="O789" s="3">
        <f t="shared" si="138"/>
        <v>-6.4630293781423015E-2</v>
      </c>
      <c r="P789" s="3">
        <f t="shared" si="139"/>
        <v>0.48384804848917079</v>
      </c>
      <c r="Q789" s="3">
        <f t="shared" si="140"/>
        <v>-0.72598437096047586</v>
      </c>
      <c r="R789" s="3">
        <f t="shared" si="142"/>
        <v>0.51615195151082927</v>
      </c>
    </row>
    <row r="790" spans="1:18" x14ac:dyDescent="0.3">
      <c r="A790" s="2">
        <v>786</v>
      </c>
      <c r="B790" s="2">
        <v>1</v>
      </c>
      <c r="C790" s="2">
        <v>22</v>
      </c>
      <c r="D790" s="2">
        <f t="shared" si="141"/>
        <v>484</v>
      </c>
      <c r="E790" s="2">
        <v>77.070899999999995</v>
      </c>
      <c r="F790" s="2">
        <v>180.7747</v>
      </c>
      <c r="G790" s="2">
        <v>0.74521499999999996</v>
      </c>
      <c r="H790" s="2">
        <v>6</v>
      </c>
      <c r="I790" s="3">
        <f t="shared" si="132"/>
        <v>-0.9529886183484757</v>
      </c>
      <c r="J790" s="3">
        <f t="shared" si="133"/>
        <v>-0.9550527886739022</v>
      </c>
      <c r="K790" s="3">
        <f t="shared" si="134"/>
        <v>0.23012592489450195</v>
      </c>
      <c r="L790" s="3">
        <f t="shared" si="135"/>
        <v>0.10352516664593249</v>
      </c>
      <c r="M790" s="3">
        <f t="shared" si="136"/>
        <v>0.88990525372712925</v>
      </c>
      <c r="N790" s="3">
        <f t="shared" si="137"/>
        <v>1.4896252544247224</v>
      </c>
      <c r="O790" s="3">
        <f t="shared" si="138"/>
        <v>0.101280907244512</v>
      </c>
      <c r="P790" s="3">
        <f t="shared" si="139"/>
        <v>0.52529860479167434</v>
      </c>
      <c r="Q790" s="3">
        <f t="shared" si="140"/>
        <v>-0.64378840704768958</v>
      </c>
      <c r="R790" s="3">
        <f t="shared" si="142"/>
        <v>0.47470139520832566</v>
      </c>
    </row>
    <row r="791" spans="1:18" x14ac:dyDescent="0.3">
      <c r="A791" s="2">
        <v>787</v>
      </c>
      <c r="B791" s="2">
        <v>0</v>
      </c>
      <c r="C791" s="2">
        <v>35</v>
      </c>
      <c r="D791" s="2">
        <f t="shared" si="141"/>
        <v>1225</v>
      </c>
      <c r="E791" s="2">
        <v>86.423299999999998</v>
      </c>
      <c r="F791" s="2">
        <v>195.136</v>
      </c>
      <c r="G791" s="2">
        <v>0.23222499999999999</v>
      </c>
      <c r="H791" s="2">
        <v>3</v>
      </c>
      <c r="I791" s="3">
        <f t="shared" si="132"/>
        <v>1.0352720201574113</v>
      </c>
      <c r="J791" s="3">
        <f t="shared" si="133"/>
        <v>1.034545426681756</v>
      </c>
      <c r="K791" s="3">
        <f t="shared" si="134"/>
        <v>1.175517343687366</v>
      </c>
      <c r="L791" s="3">
        <f t="shared" si="135"/>
        <v>1.555786877027026</v>
      </c>
      <c r="M791" s="3">
        <f t="shared" si="136"/>
        <v>-0.90261053181648065</v>
      </c>
      <c r="N791" s="3">
        <f t="shared" si="137"/>
        <v>-0.27394055586500432</v>
      </c>
      <c r="O791" s="3">
        <f t="shared" si="138"/>
        <v>0.12530113183703043</v>
      </c>
      <c r="P791" s="3">
        <f t="shared" si="139"/>
        <v>0.53128436231775744</v>
      </c>
      <c r="Q791" s="3">
        <f t="shared" si="140"/>
        <v>-0.75775901066243556</v>
      </c>
      <c r="R791" s="3">
        <f t="shared" si="142"/>
        <v>-0.53128436231775744</v>
      </c>
    </row>
    <row r="792" spans="1:18" x14ac:dyDescent="0.3">
      <c r="A792" s="2">
        <v>788</v>
      </c>
      <c r="B792" s="2">
        <v>0</v>
      </c>
      <c r="C792" s="2">
        <v>27</v>
      </c>
      <c r="D792" s="2">
        <f t="shared" si="141"/>
        <v>729</v>
      </c>
      <c r="E792" s="2">
        <v>63.791800000000002</v>
      </c>
      <c r="F792" s="2">
        <v>173.8664</v>
      </c>
      <c r="G792" s="2">
        <v>0.40532499999999999</v>
      </c>
      <c r="H792" s="2">
        <v>5</v>
      </c>
      <c r="I792" s="3">
        <f t="shared" si="132"/>
        <v>-0.18827298815390386</v>
      </c>
      <c r="J792" s="3">
        <f t="shared" si="133"/>
        <v>-0.29722341922432566</v>
      </c>
      <c r="K792" s="3">
        <f t="shared" si="134"/>
        <v>-1.1121976700428737</v>
      </c>
      <c r="L792" s="3">
        <f t="shared" si="135"/>
        <v>-0.59506476419777277</v>
      </c>
      <c r="M792" s="3">
        <f t="shared" si="136"/>
        <v>-0.29775569550856257</v>
      </c>
      <c r="N792" s="3">
        <f t="shared" si="137"/>
        <v>0.90176998432814681</v>
      </c>
      <c r="O792" s="3">
        <f t="shared" si="138"/>
        <v>-5.3055916404069453E-2</v>
      </c>
      <c r="P792" s="3">
        <f t="shared" si="139"/>
        <v>0.48673913145473685</v>
      </c>
      <c r="Q792" s="3">
        <f t="shared" si="140"/>
        <v>-0.66697104737887791</v>
      </c>
      <c r="R792" s="3">
        <f t="shared" si="142"/>
        <v>-0.48673913145473685</v>
      </c>
    </row>
    <row r="793" spans="1:18" x14ac:dyDescent="0.3">
      <c r="A793" s="2">
        <v>789</v>
      </c>
      <c r="B793" s="2">
        <v>0</v>
      </c>
      <c r="C793" s="2">
        <v>39</v>
      </c>
      <c r="D793" s="2">
        <f t="shared" si="141"/>
        <v>1521</v>
      </c>
      <c r="E793" s="2">
        <v>59.008600000000001</v>
      </c>
      <c r="F793" s="2">
        <v>173.57239999999999</v>
      </c>
      <c r="G793" s="2">
        <v>0.26916200000000001</v>
      </c>
      <c r="H793" s="2">
        <v>5</v>
      </c>
      <c r="I793" s="3">
        <f t="shared" si="132"/>
        <v>1.6470445243130687</v>
      </c>
      <c r="J793" s="3">
        <f t="shared" si="133"/>
        <v>1.829310705690224</v>
      </c>
      <c r="K793" s="3">
        <f t="shared" si="134"/>
        <v>-1.5957095209442496</v>
      </c>
      <c r="L793" s="3">
        <f t="shared" si="135"/>
        <v>-0.62479500748020944</v>
      </c>
      <c r="M793" s="3">
        <f t="shared" si="136"/>
        <v>-0.77354338514573773</v>
      </c>
      <c r="N793" s="3">
        <f t="shared" si="137"/>
        <v>0.90176998432814681</v>
      </c>
      <c r="O793" s="3">
        <f t="shared" si="138"/>
        <v>-0.10957566399549654</v>
      </c>
      <c r="P793" s="3">
        <f t="shared" si="139"/>
        <v>0.47263346062984463</v>
      </c>
      <c r="Q793" s="3">
        <f t="shared" si="140"/>
        <v>-0.63985945157667079</v>
      </c>
      <c r="R793" s="3">
        <f t="shared" si="142"/>
        <v>-0.47263346062984463</v>
      </c>
    </row>
    <row r="794" spans="1:18" x14ac:dyDescent="0.3">
      <c r="A794" s="2">
        <v>790</v>
      </c>
      <c r="B794" s="2">
        <v>1</v>
      </c>
      <c r="C794" s="2">
        <v>38</v>
      </c>
      <c r="D794" s="2">
        <f t="shared" si="141"/>
        <v>1444</v>
      </c>
      <c r="E794" s="2">
        <v>70.9328</v>
      </c>
      <c r="F794" s="2">
        <v>197.01519999999999</v>
      </c>
      <c r="G794" s="2">
        <v>0.198632</v>
      </c>
      <c r="H794" s="2">
        <v>1</v>
      </c>
      <c r="I794" s="3">
        <f t="shared" si="132"/>
        <v>1.4941013982741542</v>
      </c>
      <c r="J794" s="3">
        <f t="shared" si="133"/>
        <v>1.6225643324346428</v>
      </c>
      <c r="K794" s="3">
        <f t="shared" si="134"/>
        <v>-0.39034658138115697</v>
      </c>
      <c r="L794" s="3">
        <f t="shared" si="135"/>
        <v>1.7458177381710831</v>
      </c>
      <c r="M794" s="3">
        <f t="shared" si="136"/>
        <v>-1.0199929033710264</v>
      </c>
      <c r="N794" s="3">
        <f t="shared" si="137"/>
        <v>-1.4496510960581555</v>
      </c>
      <c r="O794" s="3">
        <f t="shared" si="138"/>
        <v>5.9663118249752033E-2</v>
      </c>
      <c r="P794" s="3">
        <f t="shared" si="139"/>
        <v>0.51491135651050512</v>
      </c>
      <c r="Q794" s="3">
        <f t="shared" si="140"/>
        <v>-0.66376051641388534</v>
      </c>
      <c r="R794" s="3">
        <f t="shared" si="142"/>
        <v>0.48508864348949488</v>
      </c>
    </row>
    <row r="795" spans="1:18" x14ac:dyDescent="0.3">
      <c r="A795" s="2">
        <v>791</v>
      </c>
      <c r="B795" s="2">
        <v>1</v>
      </c>
      <c r="C795" s="2">
        <v>23</v>
      </c>
      <c r="D795" s="2">
        <f t="shared" si="141"/>
        <v>529</v>
      </c>
      <c r="E795" s="2">
        <v>74.116600000000005</v>
      </c>
      <c r="F795" s="2">
        <v>168.91739999999999</v>
      </c>
      <c r="G795" s="2">
        <v>0.78338700000000006</v>
      </c>
      <c r="H795" s="2">
        <v>1</v>
      </c>
      <c r="I795" s="3">
        <f t="shared" si="132"/>
        <v>-0.80004549230956135</v>
      </c>
      <c r="J795" s="3">
        <f t="shared" si="133"/>
        <v>-0.83422698612193913</v>
      </c>
      <c r="K795" s="3">
        <f t="shared" si="134"/>
        <v>-6.8510774620034173E-2</v>
      </c>
      <c r="L795" s="3">
        <f t="shared" si="135"/>
        <v>-1.0955238594521055</v>
      </c>
      <c r="M795" s="3">
        <f t="shared" si="136"/>
        <v>1.0232878002987404</v>
      </c>
      <c r="N795" s="3">
        <f t="shared" si="137"/>
        <v>-1.4496510960581555</v>
      </c>
      <c r="O795" s="3">
        <f t="shared" si="138"/>
        <v>6.3214113732773553E-2</v>
      </c>
      <c r="P795" s="3">
        <f t="shared" si="139"/>
        <v>0.51579826792848804</v>
      </c>
      <c r="Q795" s="3">
        <f t="shared" si="140"/>
        <v>-0.66203954356982897</v>
      </c>
      <c r="R795" s="3">
        <f t="shared" si="142"/>
        <v>0.48420173207151196</v>
      </c>
    </row>
    <row r="796" spans="1:18" x14ac:dyDescent="0.3">
      <c r="A796" s="2">
        <v>792</v>
      </c>
      <c r="B796" s="2">
        <v>1</v>
      </c>
      <c r="C796" s="2">
        <v>18</v>
      </c>
      <c r="D796" s="2">
        <f t="shared" si="141"/>
        <v>324</v>
      </c>
      <c r="E796" s="2">
        <v>84.213499999999996</v>
      </c>
      <c r="F796" s="2">
        <v>163.38759999999999</v>
      </c>
      <c r="G796" s="2">
        <v>0.90925299999999998</v>
      </c>
      <c r="H796" s="2">
        <v>1</v>
      </c>
      <c r="I796" s="3">
        <f t="shared" si="132"/>
        <v>-1.5647611225041334</v>
      </c>
      <c r="J796" s="3">
        <f t="shared" si="133"/>
        <v>-1.3846556421919931</v>
      </c>
      <c r="K796" s="3">
        <f t="shared" si="134"/>
        <v>0.95213875025161998</v>
      </c>
      <c r="L796" s="3">
        <f t="shared" si="135"/>
        <v>-1.6547153536807175</v>
      </c>
      <c r="M796" s="3">
        <f t="shared" si="136"/>
        <v>1.4630951880903775</v>
      </c>
      <c r="N796" s="3">
        <f t="shared" si="137"/>
        <v>-1.4496510960581555</v>
      </c>
      <c r="O796" s="3">
        <f t="shared" si="138"/>
        <v>0.24980160495748527</v>
      </c>
      <c r="P796" s="3">
        <f t="shared" si="139"/>
        <v>0.56212766850177687</v>
      </c>
      <c r="Q796" s="3">
        <f t="shared" si="140"/>
        <v>-0.57602628673459588</v>
      </c>
      <c r="R796" s="3">
        <f t="shared" si="142"/>
        <v>0.43787233149822313</v>
      </c>
    </row>
    <row r="797" spans="1:18" x14ac:dyDescent="0.3">
      <c r="A797" s="2">
        <v>793</v>
      </c>
      <c r="B797" s="2">
        <v>1</v>
      </c>
      <c r="C797" s="2">
        <v>22</v>
      </c>
      <c r="D797" s="2">
        <f t="shared" si="141"/>
        <v>484</v>
      </c>
      <c r="E797" s="2">
        <v>89.105699999999999</v>
      </c>
      <c r="F797" s="2">
        <v>171.7148</v>
      </c>
      <c r="G797" s="2">
        <v>0.37023200000000001</v>
      </c>
      <c r="H797" s="2">
        <v>5</v>
      </c>
      <c r="I797" s="3">
        <f t="shared" si="132"/>
        <v>-0.9529886183484757</v>
      </c>
      <c r="J797" s="3">
        <f t="shared" si="133"/>
        <v>-0.9550527886739022</v>
      </c>
      <c r="K797" s="3">
        <f t="shared" si="134"/>
        <v>1.4466689135271911</v>
      </c>
      <c r="L797" s="3">
        <f t="shared" si="135"/>
        <v>-0.81264160585249512</v>
      </c>
      <c r="M797" s="3">
        <f t="shared" si="136"/>
        <v>-0.42037944346092393</v>
      </c>
      <c r="N797" s="3">
        <f t="shared" si="137"/>
        <v>0.90176998432814681</v>
      </c>
      <c r="O797" s="3">
        <f t="shared" si="138"/>
        <v>0.22368584850039572</v>
      </c>
      <c r="P797" s="3">
        <f t="shared" si="139"/>
        <v>0.55568945205808995</v>
      </c>
      <c r="Q797" s="3">
        <f t="shared" si="140"/>
        <v>-0.58754568023669418</v>
      </c>
      <c r="R797" s="3">
        <f t="shared" si="142"/>
        <v>0.44431054794191005</v>
      </c>
    </row>
    <row r="798" spans="1:18" x14ac:dyDescent="0.3">
      <c r="A798" s="2">
        <v>794</v>
      </c>
      <c r="B798" s="2">
        <v>0</v>
      </c>
      <c r="C798" s="2">
        <v>26</v>
      </c>
      <c r="D798" s="2">
        <f t="shared" si="141"/>
        <v>676</v>
      </c>
      <c r="E798" s="2">
        <v>87.144800000000004</v>
      </c>
      <c r="F798" s="2">
        <v>173.37219999999999</v>
      </c>
      <c r="G798" s="2">
        <v>0.75127900000000003</v>
      </c>
      <c r="H798" s="2">
        <v>2</v>
      </c>
      <c r="I798" s="3">
        <f t="shared" si="132"/>
        <v>-0.34121611419281822</v>
      </c>
      <c r="J798" s="3">
        <f t="shared" si="133"/>
        <v>-0.43952936445219321</v>
      </c>
      <c r="K798" s="3">
        <f t="shared" si="134"/>
        <v>1.2484504847697682</v>
      </c>
      <c r="L798" s="3">
        <f t="shared" si="135"/>
        <v>-0.64503988742967699</v>
      </c>
      <c r="M798" s="3">
        <f t="shared" si="136"/>
        <v>0.91109439137803194</v>
      </c>
      <c r="N798" s="3">
        <f t="shared" si="137"/>
        <v>-0.86179582596158</v>
      </c>
      <c r="O798" s="3">
        <f t="shared" si="138"/>
        <v>9.1274902264939423E-2</v>
      </c>
      <c r="P798" s="3">
        <f t="shared" si="139"/>
        <v>0.52280289664816515</v>
      </c>
      <c r="Q798" s="3">
        <f t="shared" si="140"/>
        <v>-0.7398256588693497</v>
      </c>
      <c r="R798" s="3">
        <f t="shared" si="142"/>
        <v>-0.52280289664816515</v>
      </c>
    </row>
    <row r="799" spans="1:18" x14ac:dyDescent="0.3">
      <c r="A799" s="2">
        <v>795</v>
      </c>
      <c r="B799" s="2">
        <v>0</v>
      </c>
      <c r="C799" s="2">
        <v>29</v>
      </c>
      <c r="D799" s="2">
        <f t="shared" si="141"/>
        <v>841</v>
      </c>
      <c r="E799" s="2">
        <v>77.7654</v>
      </c>
      <c r="F799" s="2">
        <v>162.52549999999999</v>
      </c>
      <c r="G799" s="2">
        <v>0.89699499999999999</v>
      </c>
      <c r="H799" s="2">
        <v>3</v>
      </c>
      <c r="I799" s="3">
        <f t="shared" si="132"/>
        <v>0.1176132639239249</v>
      </c>
      <c r="J799" s="3">
        <f t="shared" si="133"/>
        <v>3.4985782383379449E-3</v>
      </c>
      <c r="K799" s="3">
        <f t="shared" si="134"/>
        <v>0.30032975924201155</v>
      </c>
      <c r="L799" s="3">
        <f t="shared" si="135"/>
        <v>-1.7418937303262536</v>
      </c>
      <c r="M799" s="3">
        <f t="shared" si="136"/>
        <v>1.4202626601674286</v>
      </c>
      <c r="N799" s="3">
        <f t="shared" si="137"/>
        <v>-0.27394055586500432</v>
      </c>
      <c r="O799" s="3">
        <f t="shared" si="138"/>
        <v>-7.2303613939112887E-2</v>
      </c>
      <c r="P799" s="3">
        <f t="shared" si="139"/>
        <v>0.48193196718692355</v>
      </c>
      <c r="Q799" s="3">
        <f t="shared" si="140"/>
        <v>-0.65764870786968377</v>
      </c>
      <c r="R799" s="3">
        <f t="shared" si="142"/>
        <v>-0.48193196718692355</v>
      </c>
    </row>
    <row r="800" spans="1:18" x14ac:dyDescent="0.3">
      <c r="A800" s="2">
        <v>796</v>
      </c>
      <c r="B800" s="2">
        <v>1</v>
      </c>
      <c r="C800" s="2">
        <v>31</v>
      </c>
      <c r="D800" s="2">
        <f t="shared" si="141"/>
        <v>961</v>
      </c>
      <c r="E800" s="2">
        <v>82.995000000000005</v>
      </c>
      <c r="F800" s="2">
        <v>178.71960000000001</v>
      </c>
      <c r="G800" s="2">
        <v>0.84612399999999999</v>
      </c>
      <c r="H800" s="2">
        <v>3</v>
      </c>
      <c r="I800" s="3">
        <f t="shared" si="132"/>
        <v>0.42349951600175367</v>
      </c>
      <c r="J800" s="3">
        <f t="shared" si="133"/>
        <v>0.32570071837690606</v>
      </c>
      <c r="K800" s="3">
        <f t="shared" si="134"/>
        <v>0.82896614816027481</v>
      </c>
      <c r="L800" s="3">
        <f t="shared" si="135"/>
        <v>-0.10429327882934891</v>
      </c>
      <c r="M800" s="3">
        <f t="shared" si="136"/>
        <v>1.2425066210119109</v>
      </c>
      <c r="N800" s="3">
        <f t="shared" si="137"/>
        <v>-0.27394055586500432</v>
      </c>
      <c r="O800" s="3">
        <f t="shared" si="138"/>
        <v>-1.2280572956339959E-2</v>
      </c>
      <c r="P800" s="3">
        <f t="shared" si="139"/>
        <v>0.49692989534499071</v>
      </c>
      <c r="Q800" s="3">
        <f t="shared" si="140"/>
        <v>-0.69930631847867308</v>
      </c>
      <c r="R800" s="3">
        <f t="shared" si="142"/>
        <v>0.50307010465500923</v>
      </c>
    </row>
    <row r="801" spans="1:18" x14ac:dyDescent="0.3">
      <c r="A801" s="2">
        <v>797</v>
      </c>
      <c r="B801" s="2">
        <v>1</v>
      </c>
      <c r="C801" s="2">
        <v>19</v>
      </c>
      <c r="D801" s="2">
        <f t="shared" si="141"/>
        <v>361</v>
      </c>
      <c r="E801" s="2">
        <v>68.595100000000002</v>
      </c>
      <c r="F801" s="2">
        <v>189.4845</v>
      </c>
      <c r="G801" s="2">
        <v>0.182813</v>
      </c>
      <c r="H801" s="2">
        <v>6</v>
      </c>
      <c r="I801" s="3">
        <f t="shared" si="132"/>
        <v>-1.4118179964652189</v>
      </c>
      <c r="J801" s="3">
        <f t="shared" si="133"/>
        <v>-1.2853099823159346</v>
      </c>
      <c r="K801" s="3">
        <f t="shared" si="134"/>
        <v>-0.62665400190552245</v>
      </c>
      <c r="L801" s="3">
        <f t="shared" si="135"/>
        <v>0.98428868005190906</v>
      </c>
      <c r="M801" s="3">
        <f t="shared" si="136"/>
        <v>-1.0752684588623895</v>
      </c>
      <c r="N801" s="3">
        <f t="shared" si="137"/>
        <v>1.4896252544247224</v>
      </c>
      <c r="O801" s="3">
        <f t="shared" si="138"/>
        <v>0.23984381968355653</v>
      </c>
      <c r="P801" s="3">
        <f t="shared" si="139"/>
        <v>0.55967516072447621</v>
      </c>
      <c r="Q801" s="3">
        <f t="shared" si="140"/>
        <v>-0.58039873369357597</v>
      </c>
      <c r="R801" s="3">
        <f t="shared" si="142"/>
        <v>0.44032483927552379</v>
      </c>
    </row>
    <row r="802" spans="1:18" x14ac:dyDescent="0.3">
      <c r="A802" s="2">
        <v>798</v>
      </c>
      <c r="B802" s="2">
        <v>0</v>
      </c>
      <c r="C802" s="2">
        <v>34</v>
      </c>
      <c r="D802" s="2">
        <f t="shared" si="141"/>
        <v>1156</v>
      </c>
      <c r="E802" s="2">
        <v>76.683999999999997</v>
      </c>
      <c r="F802" s="2">
        <v>167.1405</v>
      </c>
      <c r="G802" s="2">
        <v>0.95629200000000003</v>
      </c>
      <c r="H802" s="2">
        <v>2</v>
      </c>
      <c r="I802" s="3">
        <f t="shared" si="132"/>
        <v>0.8823288941184968</v>
      </c>
      <c r="J802" s="3">
        <f t="shared" si="133"/>
        <v>0.84927919610207925</v>
      </c>
      <c r="K802" s="3">
        <f t="shared" si="134"/>
        <v>0.19101597023784095</v>
      </c>
      <c r="L802" s="3">
        <f t="shared" si="135"/>
        <v>-1.2752098094131914</v>
      </c>
      <c r="M802" s="3">
        <f t="shared" si="136"/>
        <v>1.6274612576749423</v>
      </c>
      <c r="N802" s="3">
        <f t="shared" si="137"/>
        <v>-0.86179582596158</v>
      </c>
      <c r="O802" s="3">
        <f t="shared" si="138"/>
        <v>-0.10368398944939186</v>
      </c>
      <c r="P802" s="3">
        <f t="shared" si="139"/>
        <v>0.47410219939258641</v>
      </c>
      <c r="Q802" s="3">
        <f t="shared" si="140"/>
        <v>-0.64264838054539641</v>
      </c>
      <c r="R802" s="3">
        <f t="shared" si="142"/>
        <v>-0.47410219939258641</v>
      </c>
    </row>
    <row r="803" spans="1:18" x14ac:dyDescent="0.3">
      <c r="A803" s="2">
        <v>799</v>
      </c>
      <c r="B803" s="2">
        <v>1</v>
      </c>
      <c r="C803" s="2">
        <v>31</v>
      </c>
      <c r="D803" s="2">
        <f t="shared" si="141"/>
        <v>961</v>
      </c>
      <c r="E803" s="2">
        <v>63.0871</v>
      </c>
      <c r="F803" s="2">
        <v>180.8758</v>
      </c>
      <c r="G803" s="2">
        <v>0.37667600000000001</v>
      </c>
      <c r="H803" s="2">
        <v>2</v>
      </c>
      <c r="I803" s="3">
        <f t="shared" si="132"/>
        <v>0.42349951600175367</v>
      </c>
      <c r="J803" s="3">
        <f t="shared" si="133"/>
        <v>0.32570071837690606</v>
      </c>
      <c r="K803" s="3">
        <f t="shared" si="134"/>
        <v>-1.1834325758235646</v>
      </c>
      <c r="L803" s="3">
        <f t="shared" si="135"/>
        <v>0.11374872989713761</v>
      </c>
      <c r="M803" s="3">
        <f t="shared" si="136"/>
        <v>-0.39786249045590821</v>
      </c>
      <c r="N803" s="3">
        <f t="shared" si="137"/>
        <v>-0.86179582596158</v>
      </c>
      <c r="O803" s="3">
        <f t="shared" si="138"/>
        <v>-6.1243427710459118E-2</v>
      </c>
      <c r="P803" s="3">
        <f t="shared" si="139"/>
        <v>0.4846939268873085</v>
      </c>
      <c r="Q803" s="3">
        <f t="shared" si="140"/>
        <v>-0.72423766584142935</v>
      </c>
      <c r="R803" s="3">
        <f t="shared" si="142"/>
        <v>0.5153060731126915</v>
      </c>
    </row>
    <row r="804" spans="1:18" x14ac:dyDescent="0.3">
      <c r="A804" s="2">
        <v>800</v>
      </c>
      <c r="B804" s="2">
        <v>1</v>
      </c>
      <c r="C804" s="2">
        <v>30</v>
      </c>
      <c r="D804" s="2">
        <f t="shared" si="141"/>
        <v>900</v>
      </c>
      <c r="E804" s="2">
        <v>75.626900000000006</v>
      </c>
      <c r="F804" s="2">
        <v>183.95939999999999</v>
      </c>
      <c r="G804" s="2">
        <v>0.33924100000000001</v>
      </c>
      <c r="H804" s="2">
        <v>3</v>
      </c>
      <c r="I804" s="3">
        <f t="shared" si="132"/>
        <v>0.27055638996283926</v>
      </c>
      <c r="J804" s="3">
        <f t="shared" si="133"/>
        <v>0.16191463047313392</v>
      </c>
      <c r="K804" s="3">
        <f t="shared" si="134"/>
        <v>8.4158557295074571E-2</v>
      </c>
      <c r="L804" s="3">
        <f t="shared" si="135"/>
        <v>0.42557246522270881</v>
      </c>
      <c r="M804" s="3">
        <f t="shared" si="136"/>
        <v>-0.52866977409072569</v>
      </c>
      <c r="N804" s="3">
        <f t="shared" si="137"/>
        <v>-0.27394055586500432</v>
      </c>
      <c r="O804" s="3">
        <f t="shared" si="138"/>
        <v>3.5458019099123973E-2</v>
      </c>
      <c r="P804" s="3">
        <f t="shared" si="139"/>
        <v>0.50886357613438338</v>
      </c>
      <c r="Q804" s="3">
        <f t="shared" si="140"/>
        <v>-0.67557532166790535</v>
      </c>
      <c r="R804" s="3">
        <f t="shared" si="142"/>
        <v>0.49113642386561662</v>
      </c>
    </row>
    <row r="805" spans="1:18" x14ac:dyDescent="0.3">
      <c r="A805" s="2">
        <v>801</v>
      </c>
      <c r="B805" s="2">
        <v>1</v>
      </c>
      <c r="C805" s="2">
        <v>26</v>
      </c>
      <c r="D805" s="2">
        <f t="shared" si="141"/>
        <v>676</v>
      </c>
      <c r="E805" s="2">
        <v>75.886499999999998</v>
      </c>
      <c r="F805" s="2">
        <v>179.1662</v>
      </c>
      <c r="G805" s="2">
        <v>6.2431E-2</v>
      </c>
      <c r="H805" s="2">
        <v>4</v>
      </c>
      <c r="I805" s="3">
        <f t="shared" si="132"/>
        <v>-0.34121611419281822</v>
      </c>
      <c r="J805" s="3">
        <f t="shared" si="133"/>
        <v>-0.43952936445219321</v>
      </c>
      <c r="K805" s="3">
        <f t="shared" si="134"/>
        <v>0.11040033612389068</v>
      </c>
      <c r="L805" s="3">
        <f t="shared" si="135"/>
        <v>-5.9131623557459802E-2</v>
      </c>
      <c r="M805" s="3">
        <f t="shared" si="136"/>
        <v>-1.4959133745436131</v>
      </c>
      <c r="N805" s="3">
        <f t="shared" si="137"/>
        <v>0.31391471423157125</v>
      </c>
      <c r="O805" s="3">
        <f t="shared" si="138"/>
        <v>0.1161502732683557</v>
      </c>
      <c r="P805" s="3">
        <f t="shared" si="139"/>
        <v>0.529004967088053</v>
      </c>
      <c r="Q805" s="3">
        <f t="shared" si="140"/>
        <v>-0.63675745758747904</v>
      </c>
      <c r="R805" s="3">
        <f t="shared" si="142"/>
        <v>0.470995032911947</v>
      </c>
    </row>
    <row r="806" spans="1:18" x14ac:dyDescent="0.3">
      <c r="A806" s="2">
        <v>802</v>
      </c>
      <c r="B806" s="2">
        <v>0</v>
      </c>
      <c r="C806" s="2">
        <v>32</v>
      </c>
      <c r="D806" s="2">
        <f t="shared" si="141"/>
        <v>1024</v>
      </c>
      <c r="E806" s="2">
        <v>92.221299999999999</v>
      </c>
      <c r="F806" s="2">
        <v>181.8569</v>
      </c>
      <c r="G806" s="2">
        <v>0.486174</v>
      </c>
      <c r="H806" s="2">
        <v>1</v>
      </c>
      <c r="I806" s="3">
        <f t="shared" si="132"/>
        <v>0.57644264204066809</v>
      </c>
      <c r="J806" s="3">
        <f t="shared" si="133"/>
        <v>0.49485684194965435</v>
      </c>
      <c r="K806" s="3">
        <f t="shared" si="134"/>
        <v>1.7616106936468445</v>
      </c>
      <c r="L806" s="3">
        <f t="shared" si="135"/>
        <v>0.21296077644270714</v>
      </c>
      <c r="M806" s="3">
        <f t="shared" si="136"/>
        <v>-1.5249001917234601E-2</v>
      </c>
      <c r="N806" s="3">
        <f t="shared" si="137"/>
        <v>-1.4496510960581555</v>
      </c>
      <c r="O806" s="3">
        <f t="shared" si="138"/>
        <v>0.1191815658590973</v>
      </c>
      <c r="P806" s="3">
        <f t="shared" si="139"/>
        <v>0.52976017306739498</v>
      </c>
      <c r="Q806" s="3">
        <f t="shared" si="140"/>
        <v>-0.75451244435216192</v>
      </c>
      <c r="R806" s="3">
        <f t="shared" si="142"/>
        <v>-0.52976017306739498</v>
      </c>
    </row>
    <row r="807" spans="1:18" x14ac:dyDescent="0.3">
      <c r="A807" s="2">
        <v>803</v>
      </c>
      <c r="B807" s="2">
        <v>0</v>
      </c>
      <c r="C807" s="2">
        <v>39</v>
      </c>
      <c r="D807" s="2">
        <f t="shared" si="141"/>
        <v>1521</v>
      </c>
      <c r="E807" s="2">
        <v>72.7102</v>
      </c>
      <c r="F807" s="2">
        <v>181.97329999999999</v>
      </c>
      <c r="G807" s="2">
        <v>0.109014</v>
      </c>
      <c r="H807" s="2">
        <v>1</v>
      </c>
      <c r="I807" s="3">
        <f t="shared" si="132"/>
        <v>1.6470445243130687</v>
      </c>
      <c r="J807" s="3">
        <f t="shared" si="133"/>
        <v>1.829310705690224</v>
      </c>
      <c r="K807" s="3">
        <f t="shared" si="134"/>
        <v>-0.21067732987753904</v>
      </c>
      <c r="L807" s="3">
        <f t="shared" si="135"/>
        <v>0.2247315258239162</v>
      </c>
      <c r="M807" s="3">
        <f t="shared" si="136"/>
        <v>-1.3331406833839843</v>
      </c>
      <c r="N807" s="3">
        <f t="shared" si="137"/>
        <v>-1.4496510960581555</v>
      </c>
      <c r="O807" s="3">
        <f t="shared" si="138"/>
        <v>5.7488949228646835E-2</v>
      </c>
      <c r="P807" s="3">
        <f t="shared" si="139"/>
        <v>0.51436828028606418</v>
      </c>
      <c r="Q807" s="3">
        <f t="shared" si="140"/>
        <v>-0.7223047207071851</v>
      </c>
      <c r="R807" s="3">
        <f t="shared" si="142"/>
        <v>-0.51436828028606418</v>
      </c>
    </row>
    <row r="808" spans="1:18" x14ac:dyDescent="0.3">
      <c r="A808" s="2">
        <v>804</v>
      </c>
      <c r="B808" s="2">
        <v>1</v>
      </c>
      <c r="C808" s="2">
        <v>32</v>
      </c>
      <c r="D808" s="2">
        <f t="shared" si="141"/>
        <v>1024</v>
      </c>
      <c r="E808" s="2">
        <v>75.900400000000005</v>
      </c>
      <c r="F808" s="2">
        <v>171.87270000000001</v>
      </c>
      <c r="G808" s="2">
        <v>0.24854000000000001</v>
      </c>
      <c r="H808" s="2">
        <v>3</v>
      </c>
      <c r="I808" s="3">
        <f t="shared" si="132"/>
        <v>0.57644264204066809</v>
      </c>
      <c r="J808" s="3">
        <f t="shared" si="133"/>
        <v>0.49485684194965435</v>
      </c>
      <c r="K808" s="3">
        <f t="shared" si="134"/>
        <v>0.11180542366518779</v>
      </c>
      <c r="L808" s="3">
        <f t="shared" si="135"/>
        <v>-0.7966742404977436</v>
      </c>
      <c r="M808" s="3">
        <f t="shared" si="136"/>
        <v>-0.84560182786290639</v>
      </c>
      <c r="N808" s="3">
        <f t="shared" si="137"/>
        <v>-0.27394055586500432</v>
      </c>
      <c r="O808" s="3">
        <f t="shared" si="138"/>
        <v>6.5159781861262615E-3</v>
      </c>
      <c r="P808" s="3">
        <f t="shared" si="139"/>
        <v>0.50162898878290563</v>
      </c>
      <c r="Q808" s="3">
        <f t="shared" si="140"/>
        <v>-0.68989449870395858</v>
      </c>
      <c r="R808" s="3">
        <f t="shared" si="142"/>
        <v>0.49837101121709437</v>
      </c>
    </row>
    <row r="809" spans="1:18" x14ac:dyDescent="0.3">
      <c r="A809" s="2">
        <v>805</v>
      </c>
      <c r="B809" s="2">
        <v>0</v>
      </c>
      <c r="C809" s="2">
        <v>28</v>
      </c>
      <c r="D809" s="2">
        <f t="shared" si="141"/>
        <v>784</v>
      </c>
      <c r="E809" s="2">
        <v>77.369600000000005</v>
      </c>
      <c r="F809" s="2">
        <v>194.98580000000001</v>
      </c>
      <c r="G809" s="2">
        <v>0.31694299999999997</v>
      </c>
      <c r="H809" s="2">
        <v>2</v>
      </c>
      <c r="I809" s="3">
        <f t="shared" si="132"/>
        <v>-3.5329862114989473E-2</v>
      </c>
      <c r="J809" s="3">
        <f t="shared" si="133"/>
        <v>-0.14954743832748191</v>
      </c>
      <c r="K809" s="3">
        <f t="shared" si="134"/>
        <v>0.26032014421718264</v>
      </c>
      <c r="L809" s="3">
        <f t="shared" si="135"/>
        <v>1.5405981609011032</v>
      </c>
      <c r="M809" s="3">
        <f t="shared" si="136"/>
        <v>-0.60658458136972038</v>
      </c>
      <c r="N809" s="3">
        <f t="shared" si="137"/>
        <v>-0.86179582596158</v>
      </c>
      <c r="O809" s="3">
        <f t="shared" si="138"/>
        <v>0.10875710454818743</v>
      </c>
      <c r="P809" s="3">
        <f t="shared" si="139"/>
        <v>0.52716250799084685</v>
      </c>
      <c r="Q809" s="3">
        <f t="shared" si="140"/>
        <v>-0.74900351821445665</v>
      </c>
      <c r="R809" s="3">
        <f t="shared" si="142"/>
        <v>-0.52716250799084685</v>
      </c>
    </row>
    <row r="810" spans="1:18" x14ac:dyDescent="0.3">
      <c r="A810" s="2">
        <v>806</v>
      </c>
      <c r="B810" s="2">
        <v>1</v>
      </c>
      <c r="C810" s="2">
        <v>33</v>
      </c>
      <c r="D810" s="2">
        <f t="shared" si="141"/>
        <v>1089</v>
      </c>
      <c r="E810" s="2">
        <v>70.451800000000006</v>
      </c>
      <c r="F810" s="2">
        <v>192.4776</v>
      </c>
      <c r="G810" s="2">
        <v>0.80882600000000004</v>
      </c>
      <c r="H810" s="2">
        <v>6</v>
      </c>
      <c r="I810" s="3">
        <f t="shared" si="132"/>
        <v>0.72938576807958244</v>
      </c>
      <c r="J810" s="3">
        <f t="shared" si="133"/>
        <v>0.66938300119137872</v>
      </c>
      <c r="K810" s="3">
        <f t="shared" si="134"/>
        <v>-0.43896867543609069</v>
      </c>
      <c r="L810" s="3">
        <f t="shared" si="135"/>
        <v>1.2869607588568674</v>
      </c>
      <c r="M810" s="3">
        <f t="shared" si="136"/>
        <v>1.1121780497547609</v>
      </c>
      <c r="N810" s="3">
        <f t="shared" si="137"/>
        <v>1.4896252544247224</v>
      </c>
      <c r="O810" s="3">
        <f t="shared" si="138"/>
        <v>-9.3854281479227364E-2</v>
      </c>
      <c r="P810" s="3">
        <f t="shared" si="139"/>
        <v>0.47655363795714506</v>
      </c>
      <c r="Q810" s="3">
        <f t="shared" si="140"/>
        <v>-0.74117499568126555</v>
      </c>
      <c r="R810" s="3">
        <f t="shared" si="142"/>
        <v>0.52344636204285488</v>
      </c>
    </row>
    <row r="811" spans="1:18" x14ac:dyDescent="0.3">
      <c r="A811" s="2">
        <v>807</v>
      </c>
      <c r="B811" s="2">
        <v>1</v>
      </c>
      <c r="C811" s="2">
        <v>34</v>
      </c>
      <c r="D811" s="2">
        <f t="shared" si="141"/>
        <v>1156</v>
      </c>
      <c r="E811" s="2">
        <v>66.975099999999998</v>
      </c>
      <c r="F811" s="2">
        <v>191.8991</v>
      </c>
      <c r="G811" s="2">
        <v>0.87548899999999996</v>
      </c>
      <c r="H811" s="2">
        <v>4</v>
      </c>
      <c r="I811" s="3">
        <f t="shared" si="132"/>
        <v>0.8823288941184968</v>
      </c>
      <c r="J811" s="3">
        <f t="shared" si="133"/>
        <v>0.84927919610207925</v>
      </c>
      <c r="K811" s="3">
        <f t="shared" si="134"/>
        <v>-0.7904124059990647</v>
      </c>
      <c r="L811" s="3">
        <f t="shared" si="135"/>
        <v>1.2284609434184706</v>
      </c>
      <c r="M811" s="3">
        <f t="shared" si="136"/>
        <v>1.3451152996264806</v>
      </c>
      <c r="N811" s="3">
        <f t="shared" si="137"/>
        <v>0.31391471423157125</v>
      </c>
      <c r="O811" s="3">
        <f t="shared" si="138"/>
        <v>-0.11438896775084981</v>
      </c>
      <c r="P811" s="3">
        <f t="shared" si="139"/>
        <v>0.47143389983269157</v>
      </c>
      <c r="Q811" s="3">
        <f t="shared" si="140"/>
        <v>-0.7519763779713472</v>
      </c>
      <c r="R811" s="3">
        <f t="shared" si="142"/>
        <v>0.52856610016730843</v>
      </c>
    </row>
    <row r="812" spans="1:18" x14ac:dyDescent="0.3">
      <c r="A812" s="2">
        <v>808</v>
      </c>
      <c r="B812" s="2">
        <v>0</v>
      </c>
      <c r="C812" s="2">
        <v>21</v>
      </c>
      <c r="D812" s="2">
        <f t="shared" si="141"/>
        <v>441</v>
      </c>
      <c r="E812" s="2">
        <v>87.988100000000003</v>
      </c>
      <c r="F812" s="2">
        <v>190.13679999999999</v>
      </c>
      <c r="G812" s="2">
        <v>0.30246600000000001</v>
      </c>
      <c r="H812" s="2">
        <v>3</v>
      </c>
      <c r="I812" s="3">
        <f t="shared" si="132"/>
        <v>-1.1059317443873902</v>
      </c>
      <c r="J812" s="3">
        <f t="shared" si="133"/>
        <v>-1.0705085555568892</v>
      </c>
      <c r="K812" s="3">
        <f t="shared" si="134"/>
        <v>1.3336958317895728</v>
      </c>
      <c r="L812" s="3">
        <f t="shared" si="135"/>
        <v>1.0502513932938566</v>
      </c>
      <c r="M812" s="3">
        <f t="shared" si="136"/>
        <v>-0.65717085211050441</v>
      </c>
      <c r="N812" s="3">
        <f t="shared" si="137"/>
        <v>-0.27394055586500432</v>
      </c>
      <c r="O812" s="3">
        <f t="shared" si="138"/>
        <v>0.31405709671136939</v>
      </c>
      <c r="P812" s="3">
        <f t="shared" si="139"/>
        <v>0.57787524225443587</v>
      </c>
      <c r="Q812" s="3">
        <f t="shared" si="140"/>
        <v>-0.86245437416922233</v>
      </c>
      <c r="R812" s="3">
        <f t="shared" si="142"/>
        <v>-0.57787524225443587</v>
      </c>
    </row>
    <row r="813" spans="1:18" x14ac:dyDescent="0.3">
      <c r="A813" s="2">
        <v>809</v>
      </c>
      <c r="B813" s="2">
        <v>1</v>
      </c>
      <c r="C813" s="2">
        <v>18</v>
      </c>
      <c r="D813" s="2">
        <f t="shared" si="141"/>
        <v>324</v>
      </c>
      <c r="E813" s="2">
        <v>65.190799999999996</v>
      </c>
      <c r="F813" s="2">
        <v>164.25020000000001</v>
      </c>
      <c r="G813" s="2">
        <v>0.85869799999999996</v>
      </c>
      <c r="H813" s="2">
        <v>1</v>
      </c>
      <c r="I813" s="3">
        <f t="shared" si="132"/>
        <v>-1.5647611225041334</v>
      </c>
      <c r="J813" s="3">
        <f t="shared" si="133"/>
        <v>-1.3846556421919931</v>
      </c>
      <c r="K813" s="3">
        <f t="shared" si="134"/>
        <v>-0.97077914700159973</v>
      </c>
      <c r="L813" s="3">
        <f t="shared" si="135"/>
        <v>-1.5674864153969441</v>
      </c>
      <c r="M813" s="3">
        <f t="shared" si="136"/>
        <v>1.2864433322293329</v>
      </c>
      <c r="N813" s="3">
        <f t="shared" si="137"/>
        <v>-1.4496510960581555</v>
      </c>
      <c r="O813" s="3">
        <f t="shared" si="138"/>
        <v>0.13326689282836449</v>
      </c>
      <c r="P813" s="3">
        <f t="shared" si="139"/>
        <v>0.53326750169292481</v>
      </c>
      <c r="Q813" s="3">
        <f t="shared" si="140"/>
        <v>-0.62873210136678348</v>
      </c>
      <c r="R813" s="3">
        <f t="shared" si="142"/>
        <v>0.46673249830707519</v>
      </c>
    </row>
    <row r="814" spans="1:18" x14ac:dyDescent="0.3">
      <c r="A814" s="2">
        <v>810</v>
      </c>
      <c r="B814" s="2">
        <v>1</v>
      </c>
      <c r="C814" s="2">
        <v>25</v>
      </c>
      <c r="D814" s="2">
        <f t="shared" si="141"/>
        <v>625</v>
      </c>
      <c r="E814" s="2">
        <v>61.720799999999997</v>
      </c>
      <c r="F814" s="2">
        <v>189.26060000000001</v>
      </c>
      <c r="G814" s="2">
        <v>0.85723099999999997</v>
      </c>
      <c r="H814" s="2">
        <v>5</v>
      </c>
      <c r="I814" s="3">
        <f t="shared" si="132"/>
        <v>-0.49415924023173263</v>
      </c>
      <c r="J814" s="3">
        <f t="shared" si="133"/>
        <v>-0.57646527401108472</v>
      </c>
      <c r="K814" s="3">
        <f t="shared" si="134"/>
        <v>-1.3215456051525809</v>
      </c>
      <c r="L814" s="3">
        <f t="shared" si="135"/>
        <v>0.96164717845008285</v>
      </c>
      <c r="M814" s="3">
        <f t="shared" si="136"/>
        <v>1.2813172661122694</v>
      </c>
      <c r="N814" s="3">
        <f t="shared" si="137"/>
        <v>0.90176998432814681</v>
      </c>
      <c r="O814" s="3">
        <f t="shared" si="138"/>
        <v>-6.065957736785179E-2</v>
      </c>
      <c r="P814" s="3">
        <f t="shared" si="139"/>
        <v>0.484839753989946</v>
      </c>
      <c r="Q814" s="3">
        <f t="shared" si="140"/>
        <v>-0.72393684678457049</v>
      </c>
      <c r="R814" s="3">
        <f t="shared" si="142"/>
        <v>0.51516024601005395</v>
      </c>
    </row>
    <row r="815" spans="1:18" x14ac:dyDescent="0.3">
      <c r="A815" s="2">
        <v>811</v>
      </c>
      <c r="B815" s="2">
        <v>0</v>
      </c>
      <c r="C815" s="2">
        <v>34</v>
      </c>
      <c r="D815" s="2">
        <f t="shared" si="141"/>
        <v>1156</v>
      </c>
      <c r="E815" s="2">
        <v>81.802700000000002</v>
      </c>
      <c r="F815" s="2">
        <v>186.55600000000001</v>
      </c>
      <c r="G815" s="2">
        <v>0.76465099999999997</v>
      </c>
      <c r="H815" s="2">
        <v>2</v>
      </c>
      <c r="I815" s="3">
        <f t="shared" si="132"/>
        <v>0.8823288941184968</v>
      </c>
      <c r="J815" s="3">
        <f t="shared" si="133"/>
        <v>0.84927919610207925</v>
      </c>
      <c r="K815" s="3">
        <f t="shared" si="134"/>
        <v>0.70844198445612039</v>
      </c>
      <c r="L815" s="3">
        <f t="shared" si="135"/>
        <v>0.68814916490697009</v>
      </c>
      <c r="M815" s="3">
        <f t="shared" si="136"/>
        <v>0.95781951483909167</v>
      </c>
      <c r="N815" s="3">
        <f t="shared" si="137"/>
        <v>-0.86179582596158</v>
      </c>
      <c r="O815" s="3">
        <f t="shared" si="138"/>
        <v>4.2056674198149551E-3</v>
      </c>
      <c r="P815" s="3">
        <f t="shared" si="139"/>
        <v>0.5010514153051997</v>
      </c>
      <c r="Q815" s="3">
        <f t="shared" si="140"/>
        <v>-0.6952522252230291</v>
      </c>
      <c r="R815" s="3">
        <f t="shared" si="142"/>
        <v>-0.5010514153051997</v>
      </c>
    </row>
    <row r="816" spans="1:18" x14ac:dyDescent="0.3">
      <c r="A816" s="2">
        <v>812</v>
      </c>
      <c r="B816" s="2">
        <v>1</v>
      </c>
      <c r="C816" s="2">
        <v>20</v>
      </c>
      <c r="D816" s="2">
        <f t="shared" si="141"/>
        <v>400</v>
      </c>
      <c r="E816" s="2">
        <v>86.578100000000006</v>
      </c>
      <c r="F816" s="2">
        <v>164.63480000000001</v>
      </c>
      <c r="G816" s="2">
        <v>0.14669499999999999</v>
      </c>
      <c r="H816" s="2">
        <v>5</v>
      </c>
      <c r="I816" s="3">
        <f t="shared" si="132"/>
        <v>-1.2588748704263044</v>
      </c>
      <c r="J816" s="3">
        <f t="shared" si="133"/>
        <v>-1.1805942867708998</v>
      </c>
      <c r="K816" s="3">
        <f t="shared" si="134"/>
        <v>1.1911653689674166</v>
      </c>
      <c r="L816" s="3">
        <f t="shared" si="135"/>
        <v>-1.5285944032662473</v>
      </c>
      <c r="M816" s="3">
        <f t="shared" si="136"/>
        <v>-1.201473814019925</v>
      </c>
      <c r="N816" s="3">
        <f t="shared" si="137"/>
        <v>0.90176998432814681</v>
      </c>
      <c r="O816" s="3">
        <f t="shared" si="138"/>
        <v>0.28194317714354439</v>
      </c>
      <c r="P816" s="3">
        <f t="shared" si="139"/>
        <v>0.57002255518281586</v>
      </c>
      <c r="Q816" s="3">
        <f t="shared" si="140"/>
        <v>-0.56207934844026453</v>
      </c>
      <c r="R816" s="3">
        <f t="shared" si="142"/>
        <v>0.42997744481718414</v>
      </c>
    </row>
    <row r="817" spans="1:18" x14ac:dyDescent="0.3">
      <c r="A817" s="2">
        <v>813</v>
      </c>
      <c r="B817" s="2">
        <v>1</v>
      </c>
      <c r="C817" s="2">
        <v>37</v>
      </c>
      <c r="D817" s="2">
        <f t="shared" si="141"/>
        <v>1369</v>
      </c>
      <c r="E817" s="2">
        <v>70.485900000000001</v>
      </c>
      <c r="F817" s="2">
        <v>177.8509</v>
      </c>
      <c r="G817" s="2">
        <v>0.69032300000000002</v>
      </c>
      <c r="H817" s="2">
        <v>6</v>
      </c>
      <c r="I817" s="3">
        <f t="shared" si="132"/>
        <v>1.34115827223524</v>
      </c>
      <c r="J817" s="3">
        <f t="shared" si="133"/>
        <v>1.4211879948480377</v>
      </c>
      <c r="K817" s="3">
        <f t="shared" si="134"/>
        <v>-0.43552166211535681</v>
      </c>
      <c r="L817" s="3">
        <f t="shared" si="135"/>
        <v>-0.19213906909959483</v>
      </c>
      <c r="M817" s="3">
        <f t="shared" si="136"/>
        <v>0.69809883157453412</v>
      </c>
      <c r="N817" s="3">
        <f t="shared" si="137"/>
        <v>1.4896252544247224</v>
      </c>
      <c r="O817" s="3">
        <f t="shared" si="138"/>
        <v>-0.10809300479073533</v>
      </c>
      <c r="P817" s="3">
        <f t="shared" si="139"/>
        <v>0.47300302995448429</v>
      </c>
      <c r="Q817" s="3">
        <f t="shared" si="140"/>
        <v>-0.74865348468728732</v>
      </c>
      <c r="R817" s="3">
        <f t="shared" si="142"/>
        <v>0.52699697004551571</v>
      </c>
    </row>
    <row r="818" spans="1:18" x14ac:dyDescent="0.3">
      <c r="A818" s="2">
        <v>814</v>
      </c>
      <c r="B818" s="2">
        <v>1</v>
      </c>
      <c r="C818" s="2">
        <v>32</v>
      </c>
      <c r="D818" s="2">
        <f t="shared" si="141"/>
        <v>1024</v>
      </c>
      <c r="E818" s="2">
        <v>70.639499999999998</v>
      </c>
      <c r="F818" s="2">
        <v>182.7679</v>
      </c>
      <c r="G818" s="2">
        <v>0.94502399999999998</v>
      </c>
      <c r="H818" s="2">
        <v>3</v>
      </c>
      <c r="I818" s="3">
        <f t="shared" si="132"/>
        <v>0.57644264204066809</v>
      </c>
      <c r="J818" s="3">
        <f t="shared" si="133"/>
        <v>0.49485684194965435</v>
      </c>
      <c r="K818" s="3">
        <f t="shared" si="134"/>
        <v>-0.41999493935685828</v>
      </c>
      <c r="L818" s="3">
        <f t="shared" si="135"/>
        <v>0.30508408130766912</v>
      </c>
      <c r="M818" s="3">
        <f t="shared" si="136"/>
        <v>1.5880880381745515</v>
      </c>
      <c r="N818" s="3">
        <f t="shared" si="137"/>
        <v>-0.27394055586500432</v>
      </c>
      <c r="O818" s="3">
        <f t="shared" si="138"/>
        <v>-0.10624413617147431</v>
      </c>
      <c r="P818" s="3">
        <f t="shared" si="139"/>
        <v>0.47346392246019658</v>
      </c>
      <c r="Q818" s="3">
        <f t="shared" si="140"/>
        <v>-0.74767956258474144</v>
      </c>
      <c r="R818" s="3">
        <f t="shared" si="142"/>
        <v>0.52653607753980336</v>
      </c>
    </row>
    <row r="819" spans="1:18" x14ac:dyDescent="0.3">
      <c r="A819" s="2">
        <v>815</v>
      </c>
      <c r="B819" s="2">
        <v>0</v>
      </c>
      <c r="C819" s="2">
        <v>32</v>
      </c>
      <c r="D819" s="2">
        <f t="shared" si="141"/>
        <v>1024</v>
      </c>
      <c r="E819" s="2">
        <v>77.825400000000002</v>
      </c>
      <c r="F819" s="2">
        <v>196.64320000000001</v>
      </c>
      <c r="G819" s="2">
        <v>0.68254000000000004</v>
      </c>
      <c r="H819" s="2">
        <v>1</v>
      </c>
      <c r="I819" s="3">
        <f t="shared" si="132"/>
        <v>0.57644264204066809</v>
      </c>
      <c r="J819" s="3">
        <f t="shared" si="133"/>
        <v>0.49485684194965435</v>
      </c>
      <c r="K819" s="3">
        <f t="shared" si="134"/>
        <v>0.30639488531955034</v>
      </c>
      <c r="L819" s="3">
        <f t="shared" si="135"/>
        <v>1.7081998793239213</v>
      </c>
      <c r="M819" s="3">
        <f t="shared" si="136"/>
        <v>0.67090307657173509</v>
      </c>
      <c r="N819" s="3">
        <f t="shared" si="137"/>
        <v>-1.4496510960581555</v>
      </c>
      <c r="O819" s="3">
        <f t="shared" si="138"/>
        <v>2.9274849785828897E-2</v>
      </c>
      <c r="P819" s="3">
        <f t="shared" si="139"/>
        <v>0.50731818980293686</v>
      </c>
      <c r="Q819" s="3">
        <f t="shared" si="140"/>
        <v>-0.70789172873142059</v>
      </c>
      <c r="R819" s="3">
        <f t="shared" si="142"/>
        <v>-0.50731818980293686</v>
      </c>
    </row>
    <row r="820" spans="1:18" x14ac:dyDescent="0.3">
      <c r="A820" s="2">
        <v>816</v>
      </c>
      <c r="B820" s="2">
        <v>1</v>
      </c>
      <c r="C820" s="2">
        <v>39</v>
      </c>
      <c r="D820" s="2">
        <f t="shared" si="141"/>
        <v>1521</v>
      </c>
      <c r="E820" s="2">
        <v>67.921499999999995</v>
      </c>
      <c r="F820" s="2">
        <v>187.24719999999999</v>
      </c>
      <c r="G820" s="2">
        <v>0.331617</v>
      </c>
      <c r="H820" s="2">
        <v>4</v>
      </c>
      <c r="I820" s="3">
        <f t="shared" si="132"/>
        <v>1.6470445243130687</v>
      </c>
      <c r="J820" s="3">
        <f t="shared" si="133"/>
        <v>1.829310705690224</v>
      </c>
      <c r="K820" s="3">
        <f t="shared" si="134"/>
        <v>-0.69474515066935638</v>
      </c>
      <c r="L820" s="3">
        <f t="shared" si="135"/>
        <v>0.75804557360363289</v>
      </c>
      <c r="M820" s="3">
        <f t="shared" si="136"/>
        <v>-0.55530994319535643</v>
      </c>
      <c r="N820" s="3">
        <f t="shared" si="137"/>
        <v>0.31391471423157125</v>
      </c>
      <c r="O820" s="3">
        <f t="shared" si="138"/>
        <v>-1.9534929174711498E-2</v>
      </c>
      <c r="P820" s="3">
        <f t="shared" si="139"/>
        <v>0.49511642300855957</v>
      </c>
      <c r="Q820" s="3">
        <f t="shared" si="140"/>
        <v>-0.70296234607106944</v>
      </c>
      <c r="R820" s="3">
        <f t="shared" si="142"/>
        <v>0.50488357699144037</v>
      </c>
    </row>
    <row r="821" spans="1:18" x14ac:dyDescent="0.3">
      <c r="A821" s="2">
        <v>817</v>
      </c>
      <c r="B821" s="2">
        <v>0</v>
      </c>
      <c r="C821" s="2">
        <v>31</v>
      </c>
      <c r="D821" s="2">
        <f t="shared" si="141"/>
        <v>961</v>
      </c>
      <c r="E821" s="2">
        <v>67.182900000000004</v>
      </c>
      <c r="F821" s="2">
        <v>171.35429999999999</v>
      </c>
      <c r="G821" s="2">
        <v>0.500579</v>
      </c>
      <c r="H821" s="2">
        <v>5</v>
      </c>
      <c r="I821" s="3">
        <f t="shared" si="132"/>
        <v>0.42349951600175367</v>
      </c>
      <c r="J821" s="3">
        <f t="shared" si="133"/>
        <v>0.32570071837690606</v>
      </c>
      <c r="K821" s="3">
        <f t="shared" si="134"/>
        <v>-0.76940685268385545</v>
      </c>
      <c r="L821" s="3">
        <f t="shared" si="135"/>
        <v>-0.84909654702024362</v>
      </c>
      <c r="M821" s="3">
        <f t="shared" si="136"/>
        <v>3.5085682756454364E-2</v>
      </c>
      <c r="N821" s="3">
        <f t="shared" si="137"/>
        <v>0.90176998432814681</v>
      </c>
      <c r="O821" s="3">
        <f t="shared" si="138"/>
        <v>-9.9410344891684516E-2</v>
      </c>
      <c r="P821" s="3">
        <f t="shared" si="139"/>
        <v>0.47516786053867643</v>
      </c>
      <c r="Q821" s="3">
        <f t="shared" si="140"/>
        <v>-0.64467680187582532</v>
      </c>
      <c r="R821" s="3">
        <f t="shared" si="142"/>
        <v>-0.47516786053867643</v>
      </c>
    </row>
    <row r="822" spans="1:18" x14ac:dyDescent="0.3">
      <c r="A822" s="2">
        <v>818</v>
      </c>
      <c r="B822" s="2">
        <v>1</v>
      </c>
      <c r="C822" s="2">
        <v>31</v>
      </c>
      <c r="D822" s="2">
        <f t="shared" si="141"/>
        <v>961</v>
      </c>
      <c r="E822" s="2">
        <v>83.795900000000003</v>
      </c>
      <c r="F822" s="2">
        <v>196.9539</v>
      </c>
      <c r="G822" s="2">
        <v>0.64572499999999999</v>
      </c>
      <c r="H822" s="2">
        <v>4</v>
      </c>
      <c r="I822" s="3">
        <f t="shared" si="132"/>
        <v>0.42349951600175367</v>
      </c>
      <c r="J822" s="3">
        <f t="shared" si="133"/>
        <v>0.32570071837690606</v>
      </c>
      <c r="K822" s="3">
        <f t="shared" si="134"/>
        <v>0.90992547275195224</v>
      </c>
      <c r="L822" s="3">
        <f t="shared" si="135"/>
        <v>1.7396188813234201</v>
      </c>
      <c r="M822" s="3">
        <f t="shared" si="136"/>
        <v>0.5422622285146812</v>
      </c>
      <c r="N822" s="3">
        <f t="shared" si="137"/>
        <v>0.31391471423157125</v>
      </c>
      <c r="O822" s="3">
        <f t="shared" si="138"/>
        <v>5.7329457185601729E-2</v>
      </c>
      <c r="P822" s="3">
        <f t="shared" si="139"/>
        <v>0.51432844011081857</v>
      </c>
      <c r="Q822" s="3">
        <f t="shared" si="140"/>
        <v>-0.66489322905077597</v>
      </c>
      <c r="R822" s="3">
        <f t="shared" si="142"/>
        <v>0.48567155988918143</v>
      </c>
    </row>
    <row r="823" spans="1:18" x14ac:dyDescent="0.3">
      <c r="A823" s="2">
        <v>819</v>
      </c>
      <c r="B823" s="2">
        <v>1</v>
      </c>
      <c r="C823" s="2">
        <v>19</v>
      </c>
      <c r="D823" s="2">
        <f t="shared" si="141"/>
        <v>361</v>
      </c>
      <c r="E823" s="2">
        <v>81.071299999999994</v>
      </c>
      <c r="F823" s="2">
        <v>180.43780000000001</v>
      </c>
      <c r="G823" s="2">
        <v>0.51056999999999997</v>
      </c>
      <c r="H823" s="2">
        <v>6</v>
      </c>
      <c r="I823" s="3">
        <f t="shared" si="132"/>
        <v>-1.4118179964652189</v>
      </c>
      <c r="J823" s="3">
        <f t="shared" si="133"/>
        <v>-1.2853099823159346</v>
      </c>
      <c r="K823" s="3">
        <f t="shared" si="134"/>
        <v>0.63450809757092419</v>
      </c>
      <c r="L823" s="3">
        <f t="shared" si="135"/>
        <v>6.9456734802898101E-2</v>
      </c>
      <c r="M823" s="3">
        <f t="shared" si="136"/>
        <v>6.9996743816837917E-2</v>
      </c>
      <c r="N823" s="3">
        <f t="shared" si="137"/>
        <v>1.4896252544247224</v>
      </c>
      <c r="O823" s="3">
        <f t="shared" si="138"/>
        <v>0.2526454502234925</v>
      </c>
      <c r="P823" s="3">
        <f t="shared" si="139"/>
        <v>0.56282752888607035</v>
      </c>
      <c r="Q823" s="3">
        <f t="shared" si="140"/>
        <v>-0.57478204078380746</v>
      </c>
      <c r="R823" s="3">
        <f t="shared" si="142"/>
        <v>0.43717247111392965</v>
      </c>
    </row>
    <row r="824" spans="1:18" x14ac:dyDescent="0.3">
      <c r="A824" s="2">
        <v>820</v>
      </c>
      <c r="B824" s="2">
        <v>1</v>
      </c>
      <c r="C824" s="2">
        <v>30</v>
      </c>
      <c r="D824" s="2">
        <f t="shared" si="141"/>
        <v>900</v>
      </c>
      <c r="E824" s="2">
        <v>88.111599999999996</v>
      </c>
      <c r="F824" s="2">
        <v>177.44159999999999</v>
      </c>
      <c r="G824" s="2">
        <v>0.119953</v>
      </c>
      <c r="H824" s="2">
        <v>1</v>
      </c>
      <c r="I824" s="3">
        <f t="shared" si="132"/>
        <v>0.27055638996283926</v>
      </c>
      <c r="J824" s="3">
        <f t="shared" si="133"/>
        <v>0.16191463047313392</v>
      </c>
      <c r="K824" s="3">
        <f t="shared" si="134"/>
        <v>1.3461798829658391</v>
      </c>
      <c r="L824" s="3">
        <f t="shared" si="135"/>
        <v>-0.23352882615912174</v>
      </c>
      <c r="M824" s="3">
        <f t="shared" si="136"/>
        <v>-1.2949170724401811</v>
      </c>
      <c r="N824" s="3">
        <f t="shared" si="137"/>
        <v>-1.4496510960581555</v>
      </c>
      <c r="O824" s="3">
        <f t="shared" si="138"/>
        <v>0.1518784025974651</v>
      </c>
      <c r="P824" s="3">
        <f t="shared" si="139"/>
        <v>0.53789678139683639</v>
      </c>
      <c r="Q824" s="3">
        <f t="shared" si="140"/>
        <v>-0.62008859336680544</v>
      </c>
      <c r="R824" s="3">
        <f t="shared" si="142"/>
        <v>0.46210321860316361</v>
      </c>
    </row>
    <row r="825" spans="1:18" x14ac:dyDescent="0.3">
      <c r="A825" s="2">
        <v>821</v>
      </c>
      <c r="B825" s="2">
        <v>1</v>
      </c>
      <c r="C825" s="2">
        <v>31</v>
      </c>
      <c r="D825" s="2">
        <f t="shared" si="141"/>
        <v>961</v>
      </c>
      <c r="E825" s="2">
        <v>62.4741</v>
      </c>
      <c r="F825" s="2">
        <v>176.72880000000001</v>
      </c>
      <c r="G825" s="2">
        <v>0.31206400000000001</v>
      </c>
      <c r="H825" s="2">
        <v>5</v>
      </c>
      <c r="I825" s="3">
        <f t="shared" si="132"/>
        <v>0.42349951600175367</v>
      </c>
      <c r="J825" s="3">
        <f t="shared" si="133"/>
        <v>0.32570071837690606</v>
      </c>
      <c r="K825" s="3">
        <f t="shared" si="134"/>
        <v>-1.2453979472490837</v>
      </c>
      <c r="L825" s="3">
        <f t="shared" si="135"/>
        <v>-0.30560949762755601</v>
      </c>
      <c r="M825" s="3">
        <f t="shared" si="136"/>
        <v>-0.62363303166634843</v>
      </c>
      <c r="N825" s="3">
        <f t="shared" si="137"/>
        <v>0.90176998432814681</v>
      </c>
      <c r="O825" s="3">
        <f t="shared" si="138"/>
        <v>-9.0022718218691317E-2</v>
      </c>
      <c r="P825" s="3">
        <f t="shared" si="139"/>
        <v>0.47750950714201218</v>
      </c>
      <c r="Q825" s="3">
        <f t="shared" si="140"/>
        <v>-0.73917120901450672</v>
      </c>
      <c r="R825" s="3">
        <f t="shared" si="142"/>
        <v>0.52249049285798788</v>
      </c>
    </row>
    <row r="826" spans="1:18" x14ac:dyDescent="0.3">
      <c r="A826" s="2">
        <v>822</v>
      </c>
      <c r="B826" s="2">
        <v>0</v>
      </c>
      <c r="C826" s="2">
        <v>36</v>
      </c>
      <c r="D826" s="2">
        <f t="shared" si="141"/>
        <v>1296</v>
      </c>
      <c r="E826" s="2">
        <v>69.975399999999993</v>
      </c>
      <c r="F826" s="2">
        <v>163.76439999999999</v>
      </c>
      <c r="G826" s="2">
        <v>0.802396</v>
      </c>
      <c r="H826" s="2">
        <v>6</v>
      </c>
      <c r="I826" s="3">
        <f t="shared" si="132"/>
        <v>1.1882151461963255</v>
      </c>
      <c r="J826" s="3">
        <f t="shared" si="133"/>
        <v>1.2251816929304087</v>
      </c>
      <c r="K826" s="3">
        <f t="shared" si="134"/>
        <v>-0.48712577649174832</v>
      </c>
      <c r="L826" s="3">
        <f t="shared" si="135"/>
        <v>-1.6166121031064937</v>
      </c>
      <c r="M826" s="3">
        <f t="shared" si="136"/>
        <v>1.0897100162627911</v>
      </c>
      <c r="N826" s="3">
        <f t="shared" si="137"/>
        <v>1.4896252544247224</v>
      </c>
      <c r="O826" s="3">
        <f t="shared" si="138"/>
        <v>-0.16488025707698006</v>
      </c>
      <c r="P826" s="3">
        <f t="shared" si="139"/>
        <v>0.45887306489791768</v>
      </c>
      <c r="Q826" s="3">
        <f t="shared" si="140"/>
        <v>-0.61410139715416234</v>
      </c>
      <c r="R826" s="3">
        <f t="shared" si="142"/>
        <v>-0.45887306489791768</v>
      </c>
    </row>
    <row r="827" spans="1:18" x14ac:dyDescent="0.3">
      <c r="A827" s="2">
        <v>823</v>
      </c>
      <c r="B827" s="2">
        <v>0</v>
      </c>
      <c r="C827" s="2">
        <v>24</v>
      </c>
      <c r="D827" s="2">
        <f t="shared" si="141"/>
        <v>576</v>
      </c>
      <c r="E827" s="2">
        <v>77.811800000000005</v>
      </c>
      <c r="F827" s="2">
        <v>178.9023</v>
      </c>
      <c r="G827" s="2">
        <v>0.86141800000000002</v>
      </c>
      <c r="H827" s="2">
        <v>4</v>
      </c>
      <c r="I827" s="3">
        <f t="shared" si="132"/>
        <v>-0.64710236627064699</v>
      </c>
      <c r="J827" s="3">
        <f t="shared" si="133"/>
        <v>-0.70803114790099997</v>
      </c>
      <c r="K827" s="3">
        <f t="shared" si="134"/>
        <v>0.30502012340864193</v>
      </c>
      <c r="L827" s="3">
        <f t="shared" si="135"/>
        <v>-8.5818056218122857E-2</v>
      </c>
      <c r="M827" s="3">
        <f t="shared" si="136"/>
        <v>1.2959476947640387</v>
      </c>
      <c r="N827" s="3">
        <f t="shared" si="137"/>
        <v>0.31391471423157125</v>
      </c>
      <c r="O827" s="3">
        <f t="shared" si="138"/>
        <v>5.1036548231387091E-2</v>
      </c>
      <c r="P827" s="3">
        <f t="shared" si="139"/>
        <v>0.51275636827090787</v>
      </c>
      <c r="Q827" s="3">
        <f t="shared" si="140"/>
        <v>-0.71899101050216174</v>
      </c>
      <c r="R827" s="3">
        <f t="shared" si="142"/>
        <v>-0.51275636827090787</v>
      </c>
    </row>
    <row r="828" spans="1:18" x14ac:dyDescent="0.3">
      <c r="A828" s="2">
        <v>824</v>
      </c>
      <c r="B828" s="2">
        <v>1</v>
      </c>
      <c r="C828" s="2">
        <v>20</v>
      </c>
      <c r="D828" s="2">
        <f t="shared" si="141"/>
        <v>400</v>
      </c>
      <c r="E828" s="2">
        <v>65.743799999999993</v>
      </c>
      <c r="F828" s="2">
        <v>184.97489999999999</v>
      </c>
      <c r="G828" s="2">
        <v>0.13730000000000001</v>
      </c>
      <c r="H828" s="2">
        <v>4</v>
      </c>
      <c r="I828" s="3">
        <f t="shared" si="132"/>
        <v>-1.2588748704263044</v>
      </c>
      <c r="J828" s="3">
        <f t="shared" si="133"/>
        <v>-1.1805942867708998</v>
      </c>
      <c r="K828" s="3">
        <f t="shared" si="134"/>
        <v>-0.9148789016536194</v>
      </c>
      <c r="L828" s="3">
        <f t="shared" si="135"/>
        <v>0.52826315247887679</v>
      </c>
      <c r="M828" s="3">
        <f t="shared" si="136"/>
        <v>-1.2343023015249097</v>
      </c>
      <c r="N828" s="3">
        <f t="shared" si="137"/>
        <v>0.31391471423157125</v>
      </c>
      <c r="O828" s="3">
        <f t="shared" si="138"/>
        <v>0.20114075407262882</v>
      </c>
      <c r="P828" s="3">
        <f t="shared" si="139"/>
        <v>0.55011633676969607</v>
      </c>
      <c r="Q828" s="3">
        <f t="shared" si="140"/>
        <v>-0.59762550172367024</v>
      </c>
      <c r="R828" s="3">
        <f t="shared" si="142"/>
        <v>0.44988366323030393</v>
      </c>
    </row>
    <row r="829" spans="1:18" x14ac:dyDescent="0.3">
      <c r="A829" s="2">
        <v>825</v>
      </c>
      <c r="B829" s="2">
        <v>1</v>
      </c>
      <c r="C829" s="2">
        <v>32</v>
      </c>
      <c r="D829" s="2">
        <f t="shared" si="141"/>
        <v>1024</v>
      </c>
      <c r="E829" s="2">
        <v>81.416899999999998</v>
      </c>
      <c r="F829" s="2">
        <v>176.14619999999999</v>
      </c>
      <c r="G829" s="2">
        <v>0.95238699999999998</v>
      </c>
      <c r="H829" s="2">
        <v>5</v>
      </c>
      <c r="I829" s="3">
        <f t="shared" si="132"/>
        <v>0.57644264204066809</v>
      </c>
      <c r="J829" s="3">
        <f t="shared" si="133"/>
        <v>0.49485684194965435</v>
      </c>
      <c r="K829" s="3">
        <f t="shared" si="134"/>
        <v>0.66944322377754695</v>
      </c>
      <c r="L829" s="3">
        <f t="shared" si="135"/>
        <v>-0.36452391849948579</v>
      </c>
      <c r="M829" s="3">
        <f t="shared" si="136"/>
        <v>1.6138162077859624</v>
      </c>
      <c r="N829" s="3">
        <f t="shared" si="137"/>
        <v>0.90176998432814681</v>
      </c>
      <c r="O829" s="3">
        <f t="shared" si="138"/>
        <v>-6.7830540638284448E-2</v>
      </c>
      <c r="P829" s="3">
        <f t="shared" si="139"/>
        <v>0.48304886366520228</v>
      </c>
      <c r="Q829" s="3">
        <f t="shared" si="140"/>
        <v>-0.7276374634379007</v>
      </c>
      <c r="R829" s="3">
        <f t="shared" si="142"/>
        <v>0.51695113633479772</v>
      </c>
    </row>
    <row r="830" spans="1:18" x14ac:dyDescent="0.3">
      <c r="A830" s="2">
        <v>826</v>
      </c>
      <c r="B830" s="2">
        <v>1</v>
      </c>
      <c r="C830" s="2">
        <v>31</v>
      </c>
      <c r="D830" s="2">
        <f t="shared" si="141"/>
        <v>961</v>
      </c>
      <c r="E830" s="2">
        <v>87.246300000000005</v>
      </c>
      <c r="F830" s="2">
        <v>184.2045</v>
      </c>
      <c r="G830" s="2">
        <v>0.32882299999999998</v>
      </c>
      <c r="H830" s="2">
        <v>1</v>
      </c>
      <c r="I830" s="3">
        <f t="shared" si="132"/>
        <v>0.42349951600175367</v>
      </c>
      <c r="J830" s="3">
        <f t="shared" si="133"/>
        <v>0.32570071837690606</v>
      </c>
      <c r="K830" s="3">
        <f t="shared" si="134"/>
        <v>1.2587106563842712</v>
      </c>
      <c r="L830" s="3">
        <f t="shared" si="135"/>
        <v>0.45035778028571966</v>
      </c>
      <c r="M830" s="3">
        <f t="shared" si="136"/>
        <v>-0.56507288029902103</v>
      </c>
      <c r="N830" s="3">
        <f t="shared" si="137"/>
        <v>-1.4496510960581555</v>
      </c>
      <c r="O830" s="3">
        <f t="shared" si="138"/>
        <v>0.12196673869262852</v>
      </c>
      <c r="P830" s="3">
        <f t="shared" si="139"/>
        <v>0.53045394158457848</v>
      </c>
      <c r="Q830" s="3">
        <f t="shared" si="140"/>
        <v>-0.63402214546146518</v>
      </c>
      <c r="R830" s="3">
        <f t="shared" si="142"/>
        <v>0.46954605841542152</v>
      </c>
    </row>
    <row r="831" spans="1:18" x14ac:dyDescent="0.3">
      <c r="A831" s="2">
        <v>827</v>
      </c>
      <c r="B831" s="2">
        <v>1</v>
      </c>
      <c r="C831" s="2">
        <v>28</v>
      </c>
      <c r="D831" s="2">
        <f t="shared" si="141"/>
        <v>784</v>
      </c>
      <c r="E831" s="2">
        <v>69.166399999999996</v>
      </c>
      <c r="F831" s="2">
        <v>171.3561</v>
      </c>
      <c r="G831" s="2">
        <v>0.66231399999999996</v>
      </c>
      <c r="H831" s="2">
        <v>4</v>
      </c>
      <c r="I831" s="3">
        <f t="shared" si="132"/>
        <v>-3.5329862114989473E-2</v>
      </c>
      <c r="J831" s="3">
        <f t="shared" si="133"/>
        <v>-0.14954743832748191</v>
      </c>
      <c r="K831" s="3">
        <f t="shared" si="134"/>
        <v>-0.56890389310389322</v>
      </c>
      <c r="L831" s="3">
        <f t="shared" si="135"/>
        <v>-0.8489145251225958</v>
      </c>
      <c r="M831" s="3">
        <f t="shared" si="136"/>
        <v>0.60022835722358958</v>
      </c>
      <c r="N831" s="3">
        <f t="shared" si="137"/>
        <v>0.31391471423157125</v>
      </c>
      <c r="O831" s="3">
        <f t="shared" si="138"/>
        <v>-6.8676094116855713E-2</v>
      </c>
      <c r="P831" s="3">
        <f t="shared" si="139"/>
        <v>0.48283772129666402</v>
      </c>
      <c r="Q831" s="3">
        <f t="shared" si="140"/>
        <v>-0.72807466253599107</v>
      </c>
      <c r="R831" s="3">
        <f t="shared" si="142"/>
        <v>0.51716227870333598</v>
      </c>
    </row>
    <row r="832" spans="1:18" x14ac:dyDescent="0.3">
      <c r="A832" s="2">
        <v>828</v>
      </c>
      <c r="B832" s="2">
        <v>1</v>
      </c>
      <c r="C832" s="2">
        <v>32</v>
      </c>
      <c r="D832" s="2">
        <f t="shared" si="141"/>
        <v>1024</v>
      </c>
      <c r="E832" s="2">
        <v>75.385900000000007</v>
      </c>
      <c r="F832" s="2">
        <v>178.5907</v>
      </c>
      <c r="G832" s="2">
        <v>0.75182499999999997</v>
      </c>
      <c r="H832" s="2">
        <v>3</v>
      </c>
      <c r="I832" s="3">
        <f t="shared" si="132"/>
        <v>0.57644264204066809</v>
      </c>
      <c r="J832" s="3">
        <f t="shared" si="133"/>
        <v>0.49485684194965435</v>
      </c>
      <c r="K832" s="3">
        <f t="shared" si="134"/>
        <v>5.9796967550294643E-2</v>
      </c>
      <c r="L832" s="3">
        <f t="shared" si="135"/>
        <v>-0.11732806916644554</v>
      </c>
      <c r="M832" s="3">
        <f t="shared" si="136"/>
        <v>0.91300225238683652</v>
      </c>
      <c r="N832" s="3">
        <f t="shared" si="137"/>
        <v>-0.27394055586500432</v>
      </c>
      <c r="O832" s="3">
        <f t="shared" si="138"/>
        <v>-5.5888927708305676E-2</v>
      </c>
      <c r="P832" s="3">
        <f t="shared" si="139"/>
        <v>0.48603140387690685</v>
      </c>
      <c r="Q832" s="3">
        <f t="shared" si="140"/>
        <v>-0.7214820401385611</v>
      </c>
      <c r="R832" s="3">
        <f t="shared" si="142"/>
        <v>0.51396859612309309</v>
      </c>
    </row>
    <row r="833" spans="1:18" x14ac:dyDescent="0.3">
      <c r="A833" s="2">
        <v>829</v>
      </c>
      <c r="B833" s="2">
        <v>1</v>
      </c>
      <c r="C833" s="2">
        <v>30</v>
      </c>
      <c r="D833" s="2">
        <f t="shared" si="141"/>
        <v>900</v>
      </c>
      <c r="E833" s="2">
        <v>89.556200000000004</v>
      </c>
      <c r="F833" s="2">
        <v>183.16540000000001</v>
      </c>
      <c r="G833" s="2">
        <v>0.81194599999999995</v>
      </c>
      <c r="H833" s="2">
        <v>6</v>
      </c>
      <c r="I833" s="3">
        <f t="shared" si="132"/>
        <v>0.27055638996283926</v>
      </c>
      <c r="J833" s="3">
        <f t="shared" si="133"/>
        <v>0.16191463047313392</v>
      </c>
      <c r="K833" s="3">
        <f t="shared" si="134"/>
        <v>1.4922079018260439</v>
      </c>
      <c r="L833" s="3">
        <f t="shared" si="135"/>
        <v>0.34528058370484044</v>
      </c>
      <c r="M833" s="3">
        <f t="shared" si="136"/>
        <v>1.1230801126622167</v>
      </c>
      <c r="N833" s="3">
        <f t="shared" si="137"/>
        <v>1.4896252544247224</v>
      </c>
      <c r="O833" s="3">
        <f t="shared" si="138"/>
        <v>3.1114776418820763E-2</v>
      </c>
      <c r="P833" s="3">
        <f t="shared" si="139"/>
        <v>0.50777806660030822</v>
      </c>
      <c r="Q833" s="3">
        <f t="shared" si="140"/>
        <v>-0.67771080363316194</v>
      </c>
      <c r="R833" s="3">
        <f t="shared" si="142"/>
        <v>0.49222193339969178</v>
      </c>
    </row>
    <row r="834" spans="1:18" x14ac:dyDescent="0.3">
      <c r="A834" s="2">
        <v>830</v>
      </c>
      <c r="B834" s="2">
        <v>1</v>
      </c>
      <c r="C834" s="2">
        <v>35</v>
      </c>
      <c r="D834" s="2">
        <f t="shared" si="141"/>
        <v>1225</v>
      </c>
      <c r="E834" s="2">
        <v>92.992699999999999</v>
      </c>
      <c r="F834" s="2">
        <v>181.89660000000001</v>
      </c>
      <c r="G834" s="2">
        <v>0.94574999999999998</v>
      </c>
      <c r="H834" s="2">
        <v>5</v>
      </c>
      <c r="I834" s="3">
        <f t="shared" si="132"/>
        <v>1.0352720201574113</v>
      </c>
      <c r="J834" s="3">
        <f t="shared" si="133"/>
        <v>1.034545426681756</v>
      </c>
      <c r="K834" s="3">
        <f t="shared" si="134"/>
        <v>1.8395879979170657</v>
      </c>
      <c r="L834" s="3">
        <f t="shared" si="135"/>
        <v>0.21697537051860172</v>
      </c>
      <c r="M834" s="3">
        <f t="shared" si="136"/>
        <v>1.5906248643510943</v>
      </c>
      <c r="N834" s="3">
        <f t="shared" si="137"/>
        <v>0.90176998432814681</v>
      </c>
      <c r="O834" s="3">
        <f t="shared" si="138"/>
        <v>1.5446755657156745E-2</v>
      </c>
      <c r="P834" s="3">
        <f t="shared" si="139"/>
        <v>0.50386161213214586</v>
      </c>
      <c r="Q834" s="3">
        <f t="shared" si="140"/>
        <v>-0.68545362771739737</v>
      </c>
      <c r="R834" s="3">
        <f t="shared" si="142"/>
        <v>0.49613838786785414</v>
      </c>
    </row>
    <row r="835" spans="1:18" x14ac:dyDescent="0.3">
      <c r="A835" s="2">
        <v>831</v>
      </c>
      <c r="B835" s="2">
        <v>1</v>
      </c>
      <c r="C835" s="2">
        <v>23</v>
      </c>
      <c r="D835" s="2">
        <f t="shared" si="141"/>
        <v>529</v>
      </c>
      <c r="E835" s="2">
        <v>82.457999999999998</v>
      </c>
      <c r="F835" s="2">
        <v>163.9453</v>
      </c>
      <c r="G835" s="2">
        <v>0.31291999999999998</v>
      </c>
      <c r="H835" s="2">
        <v>2</v>
      </c>
      <c r="I835" s="3">
        <f t="shared" si="132"/>
        <v>-0.80004549230956135</v>
      </c>
      <c r="J835" s="3">
        <f t="shared" si="133"/>
        <v>-0.83422698612193913</v>
      </c>
      <c r="K835" s="3">
        <f t="shared" si="134"/>
        <v>0.77468326976630386</v>
      </c>
      <c r="L835" s="3">
        <f t="shared" si="135"/>
        <v>-1.5983189023929125</v>
      </c>
      <c r="M835" s="3">
        <f t="shared" si="136"/>
        <v>-0.62064195286866175</v>
      </c>
      <c r="N835" s="3">
        <f t="shared" si="137"/>
        <v>-0.86179582596158</v>
      </c>
      <c r="O835" s="3">
        <f t="shared" si="138"/>
        <v>0.16850934068847759</v>
      </c>
      <c r="P835" s="3">
        <f t="shared" si="139"/>
        <v>0.54202793221750512</v>
      </c>
      <c r="Q835" s="3">
        <f t="shared" si="140"/>
        <v>-0.61243774341374535</v>
      </c>
      <c r="R835" s="3">
        <f t="shared" si="142"/>
        <v>0.45797206778249488</v>
      </c>
    </row>
    <row r="836" spans="1:18" x14ac:dyDescent="0.3">
      <c r="A836" s="2">
        <v>832</v>
      </c>
      <c r="B836" s="2">
        <v>0</v>
      </c>
      <c r="C836" s="2">
        <v>20</v>
      </c>
      <c r="D836" s="2">
        <f t="shared" si="141"/>
        <v>400</v>
      </c>
      <c r="E836" s="2">
        <v>80.934299999999993</v>
      </c>
      <c r="F836" s="2">
        <v>175.60990000000001</v>
      </c>
      <c r="G836" s="2">
        <v>0.85850599999999999</v>
      </c>
      <c r="H836" s="2">
        <v>2</v>
      </c>
      <c r="I836" s="3">
        <f t="shared" si="132"/>
        <v>-1.2588748704263044</v>
      </c>
      <c r="J836" s="3">
        <f t="shared" si="133"/>
        <v>-1.1805942867708998</v>
      </c>
      <c r="K836" s="3">
        <f t="shared" si="134"/>
        <v>0.62065939302721107</v>
      </c>
      <c r="L836" s="3">
        <f t="shared" si="135"/>
        <v>-0.41875633167081117</v>
      </c>
      <c r="M836" s="3">
        <f t="shared" si="136"/>
        <v>1.2857724360504126</v>
      </c>
      <c r="N836" s="3">
        <f t="shared" si="137"/>
        <v>-0.86179582596158</v>
      </c>
      <c r="O836" s="3">
        <f t="shared" si="138"/>
        <v>0.18914884600273563</v>
      </c>
      <c r="P836" s="3">
        <f t="shared" si="139"/>
        <v>0.5471467300764139</v>
      </c>
      <c r="Q836" s="3">
        <f t="shared" si="140"/>
        <v>-0.79218711342190495</v>
      </c>
      <c r="R836" s="3">
        <f t="shared" si="142"/>
        <v>-0.5471467300764139</v>
      </c>
    </row>
    <row r="837" spans="1:18" x14ac:dyDescent="0.3">
      <c r="A837" s="2">
        <v>833</v>
      </c>
      <c r="B837" s="2">
        <v>0</v>
      </c>
      <c r="C837" s="2">
        <v>36</v>
      </c>
      <c r="D837" s="2">
        <f t="shared" si="141"/>
        <v>1296</v>
      </c>
      <c r="E837" s="2">
        <v>66.462599999999995</v>
      </c>
      <c r="F837" s="2">
        <v>196.77459999999999</v>
      </c>
      <c r="G837" s="2">
        <v>0.131687</v>
      </c>
      <c r="H837" s="2">
        <v>1</v>
      </c>
      <c r="I837" s="3">
        <f t="shared" ref="I837:I900" si="143">(C837-$V$3)/$W$3</f>
        <v>1.1882151461963255</v>
      </c>
      <c r="J837" s="3">
        <f t="shared" ref="J837:J900" si="144" xml:space="preserve"> (D837- $V$8)/$W$8</f>
        <v>1.2251816929304087</v>
      </c>
      <c r="K837" s="3">
        <f t="shared" ref="K837:K900" si="145">(E837-$V$4)/$W$4</f>
        <v>-0.84221869124470705</v>
      </c>
      <c r="L837" s="3">
        <f t="shared" ref="L837:L900" si="146">(F837-$V$5)/$W$5</f>
        <v>1.721487477852192</v>
      </c>
      <c r="M837" s="3">
        <f t="shared" ref="M837:M900" si="147">(G837-$V$6)/$W$6</f>
        <v>-1.2539155320055357</v>
      </c>
      <c r="N837" s="3">
        <f t="shared" ref="N837:N900" si="148">(H837-$V$7)/$W$7</f>
        <v>-1.4496510960581555</v>
      </c>
      <c r="O837" s="3">
        <f t="shared" ref="O837:O900" si="149">$V$11+$V$12*I837+$V$17*J837+$V$13*K837+$V$14*L837+$V$15*M837+$V$16*N837</f>
        <v>2.9804517089509056E-2</v>
      </c>
      <c r="P837" s="3">
        <f t="shared" ref="P837:P900" si="150">1/(1+EXP(-O837))</f>
        <v>0.50745057774578872</v>
      </c>
      <c r="Q837" s="3">
        <f t="shared" ref="Q837:Q900" si="151">B837*LN(P837)+(1-B837)*LN(1-P837)</f>
        <v>-0.70816047364994961</v>
      </c>
      <c r="R837" s="3">
        <f t="shared" si="142"/>
        <v>-0.50745057774578872</v>
      </c>
    </row>
    <row r="838" spans="1:18" x14ac:dyDescent="0.3">
      <c r="A838" s="2">
        <v>834</v>
      </c>
      <c r="B838" s="2">
        <v>0</v>
      </c>
      <c r="C838" s="2">
        <v>32</v>
      </c>
      <c r="D838" s="2">
        <f t="shared" ref="D838:D901" si="152">C838^2</f>
        <v>1024</v>
      </c>
      <c r="E838" s="2">
        <v>78.592100000000002</v>
      </c>
      <c r="F838" s="2">
        <v>175.07550000000001</v>
      </c>
      <c r="G838" s="2">
        <v>0.70504100000000003</v>
      </c>
      <c r="H838" s="2">
        <v>3</v>
      </c>
      <c r="I838" s="3">
        <f t="shared" si="143"/>
        <v>0.57644264204066809</v>
      </c>
      <c r="J838" s="3">
        <f t="shared" si="144"/>
        <v>0.49485684194965435</v>
      </c>
      <c r="K838" s="3">
        <f t="shared" si="145"/>
        <v>0.38389708804703088</v>
      </c>
      <c r="L838" s="3">
        <f t="shared" si="146"/>
        <v>-0.47279661061684419</v>
      </c>
      <c r="M838" s="3">
        <f t="shared" si="147"/>
        <v>0.74952721678990064</v>
      </c>
      <c r="N838" s="3">
        <f t="shared" si="148"/>
        <v>-0.27394055586500432</v>
      </c>
      <c r="O838" s="3">
        <f t="shared" si="149"/>
        <v>-3.5932745770244107E-2</v>
      </c>
      <c r="P838" s="3">
        <f t="shared" si="150"/>
        <v>0.49101777999523438</v>
      </c>
      <c r="Q838" s="3">
        <f t="shared" si="151"/>
        <v>-0.67534219427008235</v>
      </c>
      <c r="R838" s="3">
        <f t="shared" ref="R838:R901" si="153">B838-P838</f>
        <v>-0.49101777999523438</v>
      </c>
    </row>
    <row r="839" spans="1:18" x14ac:dyDescent="0.3">
      <c r="A839" s="2">
        <v>835</v>
      </c>
      <c r="B839" s="2">
        <v>1</v>
      </c>
      <c r="C839" s="2">
        <v>22</v>
      </c>
      <c r="D839" s="2">
        <f t="shared" si="152"/>
        <v>484</v>
      </c>
      <c r="E839" s="2">
        <v>80.568200000000004</v>
      </c>
      <c r="F839" s="2">
        <v>180.15809999999999</v>
      </c>
      <c r="G839" s="2">
        <v>0.74197800000000003</v>
      </c>
      <c r="H839" s="2">
        <v>4</v>
      </c>
      <c r="I839" s="3">
        <f t="shared" si="143"/>
        <v>-0.9529886183484757</v>
      </c>
      <c r="J839" s="3">
        <f t="shared" si="144"/>
        <v>-0.9550527886739022</v>
      </c>
      <c r="K839" s="3">
        <f t="shared" si="145"/>
        <v>0.58365201541076428</v>
      </c>
      <c r="L839" s="3">
        <f t="shared" si="146"/>
        <v>4.1172554373994009E-2</v>
      </c>
      <c r="M839" s="3">
        <f t="shared" si="147"/>
        <v>0.87859436346064346</v>
      </c>
      <c r="N839" s="3">
        <f t="shared" si="148"/>
        <v>0.31391471423157125</v>
      </c>
      <c r="O839" s="3">
        <f t="shared" si="149"/>
        <v>0.13988794233623439</v>
      </c>
      <c r="P839" s="3">
        <f t="shared" si="150"/>
        <v>0.53491506745660622</v>
      </c>
      <c r="Q839" s="3">
        <f t="shared" si="151"/>
        <v>-0.62564729710618783</v>
      </c>
      <c r="R839" s="3">
        <f t="shared" si="153"/>
        <v>0.46508493254339378</v>
      </c>
    </row>
    <row r="840" spans="1:18" x14ac:dyDescent="0.3">
      <c r="A840" s="2">
        <v>836</v>
      </c>
      <c r="B840" s="2">
        <v>1</v>
      </c>
      <c r="C840" s="2">
        <v>27</v>
      </c>
      <c r="D840" s="2">
        <f t="shared" si="152"/>
        <v>729</v>
      </c>
      <c r="E840" s="2">
        <v>72.896299999999997</v>
      </c>
      <c r="F840" s="2">
        <v>179.13239999999999</v>
      </c>
      <c r="G840" s="2">
        <v>0.67772299999999996</v>
      </c>
      <c r="H840" s="2">
        <v>2</v>
      </c>
      <c r="I840" s="3">
        <f t="shared" si="143"/>
        <v>-0.18827298815390386</v>
      </c>
      <c r="J840" s="3">
        <f t="shared" si="144"/>
        <v>-0.29722341922432566</v>
      </c>
      <c r="K840" s="3">
        <f t="shared" si="145"/>
        <v>-0.19186533049370727</v>
      </c>
      <c r="L840" s="3">
        <f t="shared" si="146"/>
        <v>-6.2549590302176564E-2</v>
      </c>
      <c r="M840" s="3">
        <f t="shared" si="147"/>
        <v>0.65407126983288311</v>
      </c>
      <c r="N840" s="3">
        <f t="shared" si="148"/>
        <v>-0.86179582596158</v>
      </c>
      <c r="O840" s="3">
        <f t="shared" si="149"/>
        <v>3.7620116103724479E-3</v>
      </c>
      <c r="P840" s="3">
        <f t="shared" si="150"/>
        <v>0.50094050179337091</v>
      </c>
      <c r="Q840" s="3">
        <f t="shared" si="151"/>
        <v>-0.69126794384513546</v>
      </c>
      <c r="R840" s="3">
        <f t="shared" si="153"/>
        <v>0.49905949820662909</v>
      </c>
    </row>
    <row r="841" spans="1:18" x14ac:dyDescent="0.3">
      <c r="A841" s="2">
        <v>837</v>
      </c>
      <c r="B841" s="2">
        <v>1</v>
      </c>
      <c r="C841" s="2">
        <v>24</v>
      </c>
      <c r="D841" s="2">
        <f t="shared" si="152"/>
        <v>576</v>
      </c>
      <c r="E841" s="2">
        <v>69.052199999999999</v>
      </c>
      <c r="F841" s="2">
        <v>195.6824</v>
      </c>
      <c r="G841" s="2">
        <v>0.25231500000000001</v>
      </c>
      <c r="H841" s="2">
        <v>1</v>
      </c>
      <c r="I841" s="3">
        <f t="shared" si="143"/>
        <v>-0.64710236627064699</v>
      </c>
      <c r="J841" s="3">
        <f t="shared" si="144"/>
        <v>-0.70803114790099997</v>
      </c>
      <c r="K841" s="3">
        <f t="shared" si="145"/>
        <v>-0.58044784973814134</v>
      </c>
      <c r="L841" s="3">
        <f t="shared" si="146"/>
        <v>1.6110406352907096</v>
      </c>
      <c r="M841" s="3">
        <f t="shared" si="147"/>
        <v>-0.83241103059507049</v>
      </c>
      <c r="N841" s="3">
        <f t="shared" si="148"/>
        <v>-1.4496510960581555</v>
      </c>
      <c r="O841" s="3">
        <f t="shared" si="149"/>
        <v>0.1473653182409736</v>
      </c>
      <c r="P841" s="3">
        <f t="shared" si="150"/>
        <v>0.53677480185686999</v>
      </c>
      <c r="Q841" s="3">
        <f t="shared" si="151"/>
        <v>-0.62217663582572047</v>
      </c>
      <c r="R841" s="3">
        <f t="shared" si="153"/>
        <v>0.46322519814313001</v>
      </c>
    </row>
    <row r="842" spans="1:18" x14ac:dyDescent="0.3">
      <c r="A842" s="2">
        <v>838</v>
      </c>
      <c r="B842" s="2">
        <v>0</v>
      </c>
      <c r="C842" s="2">
        <v>34</v>
      </c>
      <c r="D842" s="2">
        <f t="shared" si="152"/>
        <v>1156</v>
      </c>
      <c r="E842" s="2">
        <v>62.186999999999998</v>
      </c>
      <c r="F842" s="2">
        <v>192.90369999999999</v>
      </c>
      <c r="G842" s="2">
        <v>0.87304300000000001</v>
      </c>
      <c r="H842" s="2">
        <v>6</v>
      </c>
      <c r="I842" s="3">
        <f t="shared" si="143"/>
        <v>0.8823288941184968</v>
      </c>
      <c r="J842" s="3">
        <f t="shared" si="144"/>
        <v>0.84927919610207925</v>
      </c>
      <c r="K842" s="3">
        <f t="shared" si="145"/>
        <v>-1.274419575530106</v>
      </c>
      <c r="L842" s="3">
        <f t="shared" si="146"/>
        <v>1.3300493869611039</v>
      </c>
      <c r="M842" s="3">
        <f t="shared" si="147"/>
        <v>1.3365683618471094</v>
      </c>
      <c r="N842" s="3">
        <f t="shared" si="148"/>
        <v>1.4896252544247224</v>
      </c>
      <c r="O842" s="3">
        <f t="shared" si="149"/>
        <v>-0.15979680119482353</v>
      </c>
      <c r="P842" s="3">
        <f t="shared" si="150"/>
        <v>0.46013559181901953</v>
      </c>
      <c r="Q842" s="3">
        <f t="shared" si="151"/>
        <v>-0.61643726691483325</v>
      </c>
      <c r="R842" s="3">
        <f t="shared" si="153"/>
        <v>-0.46013559181901953</v>
      </c>
    </row>
    <row r="843" spans="1:18" x14ac:dyDescent="0.3">
      <c r="A843" s="2">
        <v>839</v>
      </c>
      <c r="B843" s="2">
        <v>1</v>
      </c>
      <c r="C843" s="2">
        <v>24</v>
      </c>
      <c r="D843" s="2">
        <f t="shared" si="152"/>
        <v>576</v>
      </c>
      <c r="E843" s="2">
        <v>57.622700000000002</v>
      </c>
      <c r="F843" s="2">
        <v>188.0753</v>
      </c>
      <c r="G843" s="2">
        <v>0.16885800000000001</v>
      </c>
      <c r="H843" s="2">
        <v>3</v>
      </c>
      <c r="I843" s="3">
        <f t="shared" si="143"/>
        <v>-0.64710236627064699</v>
      </c>
      <c r="J843" s="3">
        <f t="shared" si="144"/>
        <v>-0.70803114790099997</v>
      </c>
      <c r="K843" s="3">
        <f t="shared" si="145"/>
        <v>-1.7358038247919281</v>
      </c>
      <c r="L843" s="3">
        <f t="shared" si="146"/>
        <v>0.84178575884916029</v>
      </c>
      <c r="M843" s="3">
        <f t="shared" si="147"/>
        <v>-1.1240307306167339</v>
      </c>
      <c r="N843" s="3">
        <f t="shared" si="148"/>
        <v>-0.27394055586500432</v>
      </c>
      <c r="O843" s="3">
        <f t="shared" si="149"/>
        <v>4.9790505373987444E-2</v>
      </c>
      <c r="P843" s="3">
        <f t="shared" si="150"/>
        <v>0.51244505541076368</v>
      </c>
      <c r="Q843" s="3">
        <f t="shared" si="151"/>
        <v>-0.66856178267147204</v>
      </c>
      <c r="R843" s="3">
        <f t="shared" si="153"/>
        <v>0.48755494458923632</v>
      </c>
    </row>
    <row r="844" spans="1:18" x14ac:dyDescent="0.3">
      <c r="A844" s="2">
        <v>840</v>
      </c>
      <c r="B844" s="2">
        <v>0</v>
      </c>
      <c r="C844" s="2">
        <v>39</v>
      </c>
      <c r="D844" s="2">
        <f t="shared" si="152"/>
        <v>1521</v>
      </c>
      <c r="E844" s="2">
        <v>55.5212</v>
      </c>
      <c r="F844" s="2">
        <v>170.26759999999999</v>
      </c>
      <c r="G844" s="2">
        <v>5.3635000000000002E-2</v>
      </c>
      <c r="H844" s="2">
        <v>3</v>
      </c>
      <c r="I844" s="3">
        <f t="shared" si="143"/>
        <v>1.6470445243130687</v>
      </c>
      <c r="J844" s="3">
        <f t="shared" si="144"/>
        <v>1.829310705690224</v>
      </c>
      <c r="K844" s="3">
        <f t="shared" si="145"/>
        <v>-1.9482348656577171</v>
      </c>
      <c r="L844" s="3">
        <f t="shared" si="146"/>
        <v>-0.95898721156113798</v>
      </c>
      <c r="M844" s="3">
        <f t="shared" si="147"/>
        <v>-1.5266488057404037</v>
      </c>
      <c r="N844" s="3">
        <f t="shared" si="148"/>
        <v>-0.27394055586500432</v>
      </c>
      <c r="O844" s="3">
        <f t="shared" si="149"/>
        <v>-9.2030778535038021E-2</v>
      </c>
      <c r="P844" s="3">
        <f t="shared" si="150"/>
        <v>0.47700853057812875</v>
      </c>
      <c r="Q844" s="3">
        <f t="shared" si="151"/>
        <v>-0.64819012590708036</v>
      </c>
      <c r="R844" s="3">
        <f t="shared" si="153"/>
        <v>-0.47700853057812875</v>
      </c>
    </row>
    <row r="845" spans="1:18" x14ac:dyDescent="0.3">
      <c r="A845" s="2">
        <v>841</v>
      </c>
      <c r="B845" s="2">
        <v>1</v>
      </c>
      <c r="C845" s="2">
        <v>29</v>
      </c>
      <c r="D845" s="2">
        <f t="shared" si="152"/>
        <v>841</v>
      </c>
      <c r="E845" s="2">
        <v>80.794399999999996</v>
      </c>
      <c r="F845" s="2">
        <v>183.59180000000001</v>
      </c>
      <c r="G845" s="2">
        <v>0.71746500000000002</v>
      </c>
      <c r="H845" s="2">
        <v>1</v>
      </c>
      <c r="I845" s="3">
        <f t="shared" si="143"/>
        <v>0.1176132639239249</v>
      </c>
      <c r="J845" s="3">
        <f t="shared" si="144"/>
        <v>3.4985782383379449E-3</v>
      </c>
      <c r="K845" s="3">
        <f t="shared" si="145"/>
        <v>0.60651754072308395</v>
      </c>
      <c r="L845" s="3">
        <f t="shared" si="146"/>
        <v>0.38839954879201916</v>
      </c>
      <c r="M845" s="3">
        <f t="shared" si="147"/>
        <v>0.79293979036754114</v>
      </c>
      <c r="N845" s="3">
        <f t="shared" si="148"/>
        <v>-1.4496510960581555</v>
      </c>
      <c r="O845" s="3">
        <f t="shared" si="149"/>
        <v>4.0202998257865281E-2</v>
      </c>
      <c r="P845" s="3">
        <f t="shared" si="150"/>
        <v>0.51004939604687827</v>
      </c>
      <c r="Q845" s="3">
        <f t="shared" si="151"/>
        <v>-0.67324770296002867</v>
      </c>
      <c r="R845" s="3">
        <f t="shared" si="153"/>
        <v>0.48995060395312173</v>
      </c>
    </row>
    <row r="846" spans="1:18" x14ac:dyDescent="0.3">
      <c r="A846" s="2">
        <v>842</v>
      </c>
      <c r="B846" s="2">
        <v>0</v>
      </c>
      <c r="C846" s="2">
        <v>34</v>
      </c>
      <c r="D846" s="2">
        <f t="shared" si="152"/>
        <v>1156</v>
      </c>
      <c r="E846" s="2">
        <v>76.477000000000004</v>
      </c>
      <c r="F846" s="2">
        <v>185.67939999999999</v>
      </c>
      <c r="G846" s="2">
        <v>0.47547600000000001</v>
      </c>
      <c r="H846" s="2">
        <v>1</v>
      </c>
      <c r="I846" s="3">
        <f t="shared" si="143"/>
        <v>0.8823288941184968</v>
      </c>
      <c r="J846" s="3">
        <f t="shared" si="144"/>
        <v>0.84927919610207925</v>
      </c>
      <c r="K846" s="3">
        <f t="shared" si="145"/>
        <v>0.17009128527033349</v>
      </c>
      <c r="L846" s="3">
        <f t="shared" si="146"/>
        <v>0.59950450075260364</v>
      </c>
      <c r="M846" s="3">
        <f t="shared" si="147"/>
        <v>-5.2630498386455275E-2</v>
      </c>
      <c r="N846" s="3">
        <f t="shared" si="148"/>
        <v>-1.4496510960581555</v>
      </c>
      <c r="O846" s="3">
        <f t="shared" si="149"/>
        <v>1.7999348634380137E-2</v>
      </c>
      <c r="P846" s="3">
        <f t="shared" si="150"/>
        <v>0.50449971567572049</v>
      </c>
      <c r="Q846" s="3">
        <f t="shared" si="151"/>
        <v>-0.70218735139938415</v>
      </c>
      <c r="R846" s="3">
        <f t="shared" si="153"/>
        <v>-0.50449971567572049</v>
      </c>
    </row>
    <row r="847" spans="1:18" x14ac:dyDescent="0.3">
      <c r="A847" s="2">
        <v>843</v>
      </c>
      <c r="B847" s="2">
        <v>0</v>
      </c>
      <c r="C847" s="2">
        <v>30</v>
      </c>
      <c r="D847" s="2">
        <f t="shared" si="152"/>
        <v>900</v>
      </c>
      <c r="E847" s="2">
        <v>70.161900000000003</v>
      </c>
      <c r="F847" s="2">
        <v>173.01400000000001</v>
      </c>
      <c r="G847" s="2">
        <v>0.84909800000000002</v>
      </c>
      <c r="H847" s="2">
        <v>4</v>
      </c>
      <c r="I847" s="3">
        <f t="shared" si="143"/>
        <v>0.27055638996283926</v>
      </c>
      <c r="J847" s="3">
        <f t="shared" si="144"/>
        <v>0.16191463047313392</v>
      </c>
      <c r="K847" s="3">
        <f t="shared" si="145"/>
        <v>-0.46827334293406492</v>
      </c>
      <c r="L847" s="3">
        <f t="shared" si="146"/>
        <v>-0.68126224506154054</v>
      </c>
      <c r="M847" s="3">
        <f t="shared" si="147"/>
        <v>1.2528985232833134</v>
      </c>
      <c r="N847" s="3">
        <f t="shared" si="148"/>
        <v>0.31391471423157125</v>
      </c>
      <c r="O847" s="3">
        <f t="shared" si="149"/>
        <v>-0.1103284432541322</v>
      </c>
      <c r="P847" s="3">
        <f t="shared" si="150"/>
        <v>0.47244583346641733</v>
      </c>
      <c r="Q847" s="3">
        <f t="shared" si="151"/>
        <v>-0.63950373353197665</v>
      </c>
      <c r="R847" s="3">
        <f t="shared" si="153"/>
        <v>-0.47244583346641733</v>
      </c>
    </row>
    <row r="848" spans="1:18" x14ac:dyDescent="0.3">
      <c r="A848" s="2">
        <v>844</v>
      </c>
      <c r="B848" s="2">
        <v>0</v>
      </c>
      <c r="C848" s="2">
        <v>37</v>
      </c>
      <c r="D848" s="2">
        <f t="shared" si="152"/>
        <v>1369</v>
      </c>
      <c r="E848" s="2">
        <v>71.685400000000001</v>
      </c>
      <c r="F848" s="2">
        <v>171.29480000000001</v>
      </c>
      <c r="G848" s="2">
        <v>0.38339699999999999</v>
      </c>
      <c r="H848" s="2">
        <v>1</v>
      </c>
      <c r="I848" s="3">
        <f t="shared" si="143"/>
        <v>1.34115827223524</v>
      </c>
      <c r="J848" s="3">
        <f t="shared" si="144"/>
        <v>1.4211879948480377</v>
      </c>
      <c r="K848" s="3">
        <f t="shared" si="145"/>
        <v>-0.31426968328189792</v>
      </c>
      <c r="L848" s="3">
        <f t="shared" si="146"/>
        <v>-0.85511338197025888</v>
      </c>
      <c r="M848" s="3">
        <f t="shared" si="147"/>
        <v>-0.37437762994276258</v>
      </c>
      <c r="N848" s="3">
        <f t="shared" si="148"/>
        <v>-1.4496510960581555</v>
      </c>
      <c r="O848" s="3">
        <f t="shared" si="149"/>
        <v>-2.8942887747064446E-2</v>
      </c>
      <c r="P848" s="3">
        <f t="shared" si="150"/>
        <v>0.49276478312903699</v>
      </c>
      <c r="Q848" s="3">
        <f t="shared" si="151"/>
        <v>-0.67878044437568752</v>
      </c>
      <c r="R848" s="3">
        <f t="shared" si="153"/>
        <v>-0.49276478312903699</v>
      </c>
    </row>
    <row r="849" spans="1:18" x14ac:dyDescent="0.3">
      <c r="A849" s="2">
        <v>845</v>
      </c>
      <c r="B849" s="2">
        <v>1</v>
      </c>
      <c r="C849" s="2">
        <v>21</v>
      </c>
      <c r="D849" s="2">
        <f t="shared" si="152"/>
        <v>441</v>
      </c>
      <c r="E849" s="2">
        <v>77.104699999999994</v>
      </c>
      <c r="F849" s="2">
        <v>197.05009999999999</v>
      </c>
      <c r="G849" s="2">
        <v>0.16827900000000001</v>
      </c>
      <c r="H849" s="2">
        <v>4</v>
      </c>
      <c r="I849" s="3">
        <f t="shared" si="143"/>
        <v>-1.1059317443873902</v>
      </c>
      <c r="J849" s="3">
        <f t="shared" si="144"/>
        <v>-1.0705085555568892</v>
      </c>
      <c r="K849" s="3">
        <f t="shared" si="145"/>
        <v>0.23354261258484862</v>
      </c>
      <c r="L849" s="3">
        <f t="shared" si="146"/>
        <v>1.7493469405199158</v>
      </c>
      <c r="M849" s="3">
        <f t="shared" si="147"/>
        <v>-1.1260539019062905</v>
      </c>
      <c r="N849" s="3">
        <f t="shared" si="148"/>
        <v>0.31391471423157125</v>
      </c>
      <c r="O849" s="3">
        <f t="shared" si="149"/>
        <v>0.26986662884642992</v>
      </c>
      <c r="P849" s="3">
        <f t="shared" si="150"/>
        <v>0.56706016224875255</v>
      </c>
      <c r="Q849" s="3">
        <f t="shared" si="151"/>
        <v>-0.56728987462443303</v>
      </c>
      <c r="R849" s="3">
        <f t="shared" si="153"/>
        <v>0.43293983775124745</v>
      </c>
    </row>
    <row r="850" spans="1:18" x14ac:dyDescent="0.3">
      <c r="A850" s="2">
        <v>846</v>
      </c>
      <c r="B850" s="2">
        <v>0</v>
      </c>
      <c r="C850" s="2">
        <v>27</v>
      </c>
      <c r="D850" s="2">
        <f t="shared" si="152"/>
        <v>729</v>
      </c>
      <c r="E850" s="2">
        <v>73.354399999999998</v>
      </c>
      <c r="F850" s="2">
        <v>176.99199999999999</v>
      </c>
      <c r="G850" s="2">
        <v>0.83644200000000002</v>
      </c>
      <c r="H850" s="2">
        <v>4</v>
      </c>
      <c r="I850" s="3">
        <f t="shared" si="143"/>
        <v>-0.18827298815390386</v>
      </c>
      <c r="J850" s="3">
        <f t="shared" si="144"/>
        <v>-0.29722341922432566</v>
      </c>
      <c r="K850" s="3">
        <f t="shared" si="145"/>
        <v>-0.14555809289170002</v>
      </c>
      <c r="L850" s="3">
        <f t="shared" si="146"/>
        <v>-0.27899385126042492</v>
      </c>
      <c r="M850" s="3">
        <f t="shared" si="147"/>
        <v>1.2086752834894774</v>
      </c>
      <c r="N850" s="3">
        <f t="shared" si="148"/>
        <v>0.31391471423157125</v>
      </c>
      <c r="O850" s="3">
        <f t="shared" si="149"/>
        <v>-3.8184706538999753E-2</v>
      </c>
      <c r="P850" s="3">
        <f t="shared" si="150"/>
        <v>0.49045498311374058</v>
      </c>
      <c r="Q850" s="3">
        <f t="shared" si="151"/>
        <v>-0.6742370751954273</v>
      </c>
      <c r="R850" s="3">
        <f t="shared" si="153"/>
        <v>-0.49045498311374058</v>
      </c>
    </row>
    <row r="851" spans="1:18" x14ac:dyDescent="0.3">
      <c r="A851" s="2">
        <v>847</v>
      </c>
      <c r="B851" s="2">
        <v>1</v>
      </c>
      <c r="C851" s="2">
        <v>20</v>
      </c>
      <c r="D851" s="2">
        <f t="shared" si="152"/>
        <v>400</v>
      </c>
      <c r="E851" s="2">
        <v>61.594499999999996</v>
      </c>
      <c r="F851" s="2">
        <v>196.1498</v>
      </c>
      <c r="G851" s="2">
        <v>0.54891000000000001</v>
      </c>
      <c r="H851" s="2">
        <v>5</v>
      </c>
      <c r="I851" s="3">
        <f t="shared" si="143"/>
        <v>-1.2588748704263044</v>
      </c>
      <c r="J851" s="3">
        <f t="shared" si="144"/>
        <v>-1.1805942867708998</v>
      </c>
      <c r="K851" s="3">
        <f t="shared" si="145"/>
        <v>-1.3343126955457998</v>
      </c>
      <c r="L851" s="3">
        <f t="shared" si="146"/>
        <v>1.6583056547131936</v>
      </c>
      <c r="M851" s="3">
        <f t="shared" si="147"/>
        <v>0.2039663245450043</v>
      </c>
      <c r="N851" s="3">
        <f t="shared" si="148"/>
        <v>0.90176998432814681</v>
      </c>
      <c r="O851" s="3">
        <f t="shared" si="149"/>
        <v>0.13051133404915</v>
      </c>
      <c r="P851" s="3">
        <f t="shared" si="150"/>
        <v>0.53258159920545789</v>
      </c>
      <c r="Q851" s="3">
        <f t="shared" si="151"/>
        <v>-0.6300191551937695</v>
      </c>
      <c r="R851" s="3">
        <f t="shared" si="153"/>
        <v>0.46741840079454211</v>
      </c>
    </row>
    <row r="852" spans="1:18" x14ac:dyDescent="0.3">
      <c r="A852" s="2">
        <v>848</v>
      </c>
      <c r="B852" s="2">
        <v>1</v>
      </c>
      <c r="C852" s="2">
        <v>26</v>
      </c>
      <c r="D852" s="2">
        <f t="shared" si="152"/>
        <v>676</v>
      </c>
      <c r="E852" s="2">
        <v>84.13</v>
      </c>
      <c r="F852" s="2">
        <v>189.9709</v>
      </c>
      <c r="G852" s="2">
        <v>0.189196</v>
      </c>
      <c r="H852" s="2">
        <v>3</v>
      </c>
      <c r="I852" s="3">
        <f t="shared" si="143"/>
        <v>-0.34121611419281822</v>
      </c>
      <c r="J852" s="3">
        <f t="shared" si="144"/>
        <v>-0.43952936445219321</v>
      </c>
      <c r="K852" s="3">
        <f t="shared" si="145"/>
        <v>0.94369811646037871</v>
      </c>
      <c r="L852" s="3">
        <f t="shared" si="146"/>
        <v>1.0334750417273402</v>
      </c>
      <c r="M852" s="3">
        <f t="shared" si="147"/>
        <v>-1.0529646551642184</v>
      </c>
      <c r="N852" s="3">
        <f t="shared" si="148"/>
        <v>-0.27394055586500432</v>
      </c>
      <c r="O852" s="3">
        <f t="shared" si="149"/>
        <v>0.18547717249597531</v>
      </c>
      <c r="P852" s="3">
        <f t="shared" si="150"/>
        <v>0.54623681665705393</v>
      </c>
      <c r="Q852" s="3">
        <f t="shared" si="151"/>
        <v>-0.60470266712983611</v>
      </c>
      <c r="R852" s="3">
        <f t="shared" si="153"/>
        <v>0.45376318334294607</v>
      </c>
    </row>
    <row r="853" spans="1:18" x14ac:dyDescent="0.3">
      <c r="A853" s="2">
        <v>849</v>
      </c>
      <c r="B853" s="2">
        <v>1</v>
      </c>
      <c r="C853" s="2">
        <v>30</v>
      </c>
      <c r="D853" s="2">
        <f t="shared" si="152"/>
        <v>900</v>
      </c>
      <c r="E853" s="2">
        <v>78.041300000000007</v>
      </c>
      <c r="F853" s="2">
        <v>184.0788</v>
      </c>
      <c r="G853" s="2">
        <v>0.72038400000000002</v>
      </c>
      <c r="H853" s="2">
        <v>6</v>
      </c>
      <c r="I853" s="3">
        <f t="shared" si="143"/>
        <v>0.27055638996283926</v>
      </c>
      <c r="J853" s="3">
        <f t="shared" si="144"/>
        <v>0.16191463047313392</v>
      </c>
      <c r="K853" s="3">
        <f t="shared" si="145"/>
        <v>0.32821923065522718</v>
      </c>
      <c r="L853" s="3">
        <f t="shared" si="146"/>
        <v>0.43764658443333188</v>
      </c>
      <c r="M853" s="3">
        <f t="shared" si="147"/>
        <v>0.80313950883769025</v>
      </c>
      <c r="N853" s="3">
        <f t="shared" si="148"/>
        <v>1.4896252544247224</v>
      </c>
      <c r="O853" s="3">
        <f t="shared" si="149"/>
        <v>-2.945647986926345E-2</v>
      </c>
      <c r="P853" s="3">
        <f t="shared" si="150"/>
        <v>0.49263641246403506</v>
      </c>
      <c r="Q853" s="3">
        <f t="shared" si="151"/>
        <v>-0.70798387709936128</v>
      </c>
      <c r="R853" s="3">
        <f t="shared" si="153"/>
        <v>0.507363587535965</v>
      </c>
    </row>
    <row r="854" spans="1:18" x14ac:dyDescent="0.3">
      <c r="A854" s="2">
        <v>850</v>
      </c>
      <c r="B854" s="2">
        <v>1</v>
      </c>
      <c r="C854" s="2">
        <v>35</v>
      </c>
      <c r="D854" s="2">
        <f t="shared" si="152"/>
        <v>1225</v>
      </c>
      <c r="E854" s="2">
        <v>77.659000000000006</v>
      </c>
      <c r="F854" s="2">
        <v>184.52529999999999</v>
      </c>
      <c r="G854" s="2">
        <v>0.51111399999999996</v>
      </c>
      <c r="H854" s="2">
        <v>3</v>
      </c>
      <c r="I854" s="3">
        <f t="shared" si="143"/>
        <v>1.0352720201574113</v>
      </c>
      <c r="J854" s="3">
        <f t="shared" si="144"/>
        <v>1.034545426681756</v>
      </c>
      <c r="K854" s="3">
        <f t="shared" si="145"/>
        <v>0.28957426899784378</v>
      </c>
      <c r="L854" s="3">
        <f t="shared" si="146"/>
        <v>0.4827981273775736</v>
      </c>
      <c r="M854" s="3">
        <f t="shared" si="147"/>
        <v>7.1897616323778987E-2</v>
      </c>
      <c r="N854" s="3">
        <f t="shared" si="148"/>
        <v>-0.27394055586500432</v>
      </c>
      <c r="O854" s="3">
        <f t="shared" si="149"/>
        <v>9.3238154117732813E-4</v>
      </c>
      <c r="P854" s="3">
        <f t="shared" si="150"/>
        <v>0.50023309536840788</v>
      </c>
      <c r="Q854" s="3">
        <f t="shared" si="151"/>
        <v>-0.69268109845626991</v>
      </c>
      <c r="R854" s="3">
        <f t="shared" si="153"/>
        <v>0.49976690463159212</v>
      </c>
    </row>
    <row r="855" spans="1:18" x14ac:dyDescent="0.3">
      <c r="A855" s="2">
        <v>851</v>
      </c>
      <c r="B855" s="2">
        <v>1</v>
      </c>
      <c r="C855" s="2">
        <v>32</v>
      </c>
      <c r="D855" s="2">
        <f t="shared" si="152"/>
        <v>1024</v>
      </c>
      <c r="E855" s="2">
        <v>83.375600000000006</v>
      </c>
      <c r="F855" s="2">
        <v>165.9958</v>
      </c>
      <c r="G855" s="2">
        <v>0.60431299999999999</v>
      </c>
      <c r="H855" s="2">
        <v>3</v>
      </c>
      <c r="I855" s="3">
        <f t="shared" si="143"/>
        <v>0.57644264204066809</v>
      </c>
      <c r="J855" s="3">
        <f t="shared" si="144"/>
        <v>0.49485684194965435</v>
      </c>
      <c r="K855" s="3">
        <f t="shared" si="145"/>
        <v>0.86743926457879472</v>
      </c>
      <c r="L855" s="3">
        <f t="shared" si="146"/>
        <v>-1.3909656239893953</v>
      </c>
      <c r="M855" s="3">
        <f t="shared" si="147"/>
        <v>0.39755830892378863</v>
      </c>
      <c r="N855" s="3">
        <f t="shared" si="148"/>
        <v>-0.27394055586500432</v>
      </c>
      <c r="O855" s="3">
        <f t="shared" si="149"/>
        <v>-1.0555190306349979E-2</v>
      </c>
      <c r="P855" s="3">
        <f t="shared" si="150"/>
        <v>0.49736122692262524</v>
      </c>
      <c r="Q855" s="3">
        <f t="shared" si="151"/>
        <v>-0.69843870215377191</v>
      </c>
      <c r="R855" s="3">
        <f t="shared" si="153"/>
        <v>0.5026387730773747</v>
      </c>
    </row>
    <row r="856" spans="1:18" x14ac:dyDescent="0.3">
      <c r="A856" s="2">
        <v>852</v>
      </c>
      <c r="B856" s="2">
        <v>0</v>
      </c>
      <c r="C856" s="2">
        <v>21</v>
      </c>
      <c r="D856" s="2">
        <f t="shared" si="152"/>
        <v>441</v>
      </c>
      <c r="E856" s="2">
        <v>66.863500000000002</v>
      </c>
      <c r="F856" s="2">
        <v>182.0677</v>
      </c>
      <c r="G856" s="2">
        <v>0.46089799999999997</v>
      </c>
      <c r="H856" s="2">
        <v>5</v>
      </c>
      <c r="I856" s="3">
        <f t="shared" si="143"/>
        <v>-1.1059317443873902</v>
      </c>
      <c r="J856" s="3">
        <f t="shared" si="144"/>
        <v>-1.0705085555568892</v>
      </c>
      <c r="K856" s="3">
        <f t="shared" si="145"/>
        <v>-0.80169354050328601</v>
      </c>
      <c r="L856" s="3">
        <f t="shared" si="146"/>
        <v>0.23427756312276699</v>
      </c>
      <c r="M856" s="3">
        <f t="shared" si="147"/>
        <v>-0.10356968847135908</v>
      </c>
      <c r="N856" s="3">
        <f t="shared" si="148"/>
        <v>0.90176998432814681</v>
      </c>
      <c r="O856" s="3">
        <f t="shared" si="149"/>
        <v>0.11522723339548144</v>
      </c>
      <c r="P856" s="3">
        <f t="shared" si="150"/>
        <v>0.52877497752118818</v>
      </c>
      <c r="Q856" s="3">
        <f t="shared" si="151"/>
        <v>-0.75241954432209068</v>
      </c>
      <c r="R856" s="3">
        <f t="shared" si="153"/>
        <v>-0.52877497752118818</v>
      </c>
    </row>
    <row r="857" spans="1:18" x14ac:dyDescent="0.3">
      <c r="A857" s="2">
        <v>853</v>
      </c>
      <c r="B857" s="2">
        <v>1</v>
      </c>
      <c r="C857" s="2">
        <v>32</v>
      </c>
      <c r="D857" s="2">
        <f t="shared" si="152"/>
        <v>1024</v>
      </c>
      <c r="E857" s="2">
        <v>87.137299999999996</v>
      </c>
      <c r="F857" s="2">
        <v>194.17019999999999</v>
      </c>
      <c r="G857" s="2">
        <v>0.82870900000000003</v>
      </c>
      <c r="H857" s="2">
        <v>4</v>
      </c>
      <c r="I857" s="3">
        <f t="shared" si="143"/>
        <v>0.57644264204066809</v>
      </c>
      <c r="J857" s="3">
        <f t="shared" si="144"/>
        <v>0.49485684194965435</v>
      </c>
      <c r="K857" s="3">
        <f t="shared" si="145"/>
        <v>1.2476923440100751</v>
      </c>
      <c r="L857" s="3">
        <f t="shared" si="146"/>
        <v>1.4581220166114603</v>
      </c>
      <c r="M857" s="3">
        <f t="shared" si="147"/>
        <v>1.1816542410332722</v>
      </c>
      <c r="N857" s="3">
        <f t="shared" si="148"/>
        <v>0.31391471423157125</v>
      </c>
      <c r="O857" s="3">
        <f t="shared" si="149"/>
        <v>3.8889483238160438E-2</v>
      </c>
      <c r="P857" s="3">
        <f t="shared" si="150"/>
        <v>0.50972114565858684</v>
      </c>
      <c r="Q857" s="3">
        <f t="shared" si="151"/>
        <v>-0.67389147601720933</v>
      </c>
      <c r="R857" s="3">
        <f t="shared" si="153"/>
        <v>0.49027885434141316</v>
      </c>
    </row>
    <row r="858" spans="1:18" x14ac:dyDescent="0.3">
      <c r="A858" s="2">
        <v>854</v>
      </c>
      <c r="B858" s="2">
        <v>1</v>
      </c>
      <c r="C858" s="2">
        <v>39</v>
      </c>
      <c r="D858" s="2">
        <f t="shared" si="152"/>
        <v>1521</v>
      </c>
      <c r="E858" s="2">
        <v>73.599599999999995</v>
      </c>
      <c r="F858" s="2">
        <v>186.8134</v>
      </c>
      <c r="G858" s="2">
        <v>0.82956300000000005</v>
      </c>
      <c r="H858" s="2">
        <v>4</v>
      </c>
      <c r="I858" s="3">
        <f t="shared" si="143"/>
        <v>1.6470445243130687</v>
      </c>
      <c r="J858" s="3">
        <f t="shared" si="144"/>
        <v>1.829310705690224</v>
      </c>
      <c r="K858" s="3">
        <f t="shared" si="145"/>
        <v>-0.12077194432149264</v>
      </c>
      <c r="L858" s="3">
        <f t="shared" si="146"/>
        <v>0.71417829627057083</v>
      </c>
      <c r="M858" s="3">
        <f t="shared" si="147"/>
        <v>1.1846383313290954</v>
      </c>
      <c r="N858" s="3">
        <f t="shared" si="148"/>
        <v>0.31391471423157125</v>
      </c>
      <c r="O858" s="3">
        <f t="shared" si="149"/>
        <v>-5.6871296554655754E-2</v>
      </c>
      <c r="P858" s="3">
        <f t="shared" si="150"/>
        <v>0.48578600673392813</v>
      </c>
      <c r="Q858" s="3">
        <f t="shared" si="151"/>
        <v>-0.72198706741120533</v>
      </c>
      <c r="R858" s="3">
        <f t="shared" si="153"/>
        <v>0.51421399326607187</v>
      </c>
    </row>
    <row r="859" spans="1:18" x14ac:dyDescent="0.3">
      <c r="A859" s="2">
        <v>855</v>
      </c>
      <c r="B859" s="2">
        <v>1</v>
      </c>
      <c r="C859" s="2">
        <v>19</v>
      </c>
      <c r="D859" s="2">
        <f t="shared" si="152"/>
        <v>361</v>
      </c>
      <c r="E859" s="2">
        <v>83.885999999999996</v>
      </c>
      <c r="F859" s="2">
        <v>181.54339999999999</v>
      </c>
      <c r="G859" s="2">
        <v>0.70938900000000005</v>
      </c>
      <c r="H859" s="2">
        <v>1</v>
      </c>
      <c r="I859" s="3">
        <f t="shared" si="143"/>
        <v>-1.4118179964652189</v>
      </c>
      <c r="J859" s="3">
        <f t="shared" si="144"/>
        <v>-1.2853099823159346</v>
      </c>
      <c r="K859" s="3">
        <f t="shared" si="145"/>
        <v>0.91903327041172189</v>
      </c>
      <c r="L859" s="3">
        <f t="shared" si="146"/>
        <v>0.18125862926908917</v>
      </c>
      <c r="M859" s="3">
        <f t="shared" si="147"/>
        <v>0.76472021984170213</v>
      </c>
      <c r="N859" s="3">
        <f t="shared" si="148"/>
        <v>-1.4496510960581555</v>
      </c>
      <c r="O859" s="3">
        <f t="shared" si="149"/>
        <v>0.28535088042324536</v>
      </c>
      <c r="P859" s="3">
        <f t="shared" si="150"/>
        <v>0.57085757243774293</v>
      </c>
      <c r="Q859" s="3">
        <f t="shared" si="151"/>
        <v>-0.56061553575072065</v>
      </c>
      <c r="R859" s="3">
        <f t="shared" si="153"/>
        <v>0.42914242756225707</v>
      </c>
    </row>
    <row r="860" spans="1:18" x14ac:dyDescent="0.3">
      <c r="A860" s="2">
        <v>856</v>
      </c>
      <c r="B860" s="2">
        <v>1</v>
      </c>
      <c r="C860" s="2">
        <v>32</v>
      </c>
      <c r="D860" s="2">
        <f t="shared" si="152"/>
        <v>1024</v>
      </c>
      <c r="E860" s="2">
        <v>82.344499999999996</v>
      </c>
      <c r="F860" s="2">
        <v>197.11940000000001</v>
      </c>
      <c r="G860" s="2">
        <v>0.10540099999999999</v>
      </c>
      <c r="H860" s="2">
        <v>5</v>
      </c>
      <c r="I860" s="3">
        <f t="shared" si="143"/>
        <v>0.57644264204066809</v>
      </c>
      <c r="J860" s="3">
        <f t="shared" si="144"/>
        <v>0.49485684194965435</v>
      </c>
      <c r="K860" s="3">
        <f t="shared" si="145"/>
        <v>0.76321007293629317</v>
      </c>
      <c r="L860" s="3">
        <f t="shared" si="146"/>
        <v>1.7563547835793498</v>
      </c>
      <c r="M860" s="3">
        <f t="shared" si="147"/>
        <v>-1.345765412000856</v>
      </c>
      <c r="N860" s="3">
        <f t="shared" si="148"/>
        <v>0.90176998432814681</v>
      </c>
      <c r="O860" s="3">
        <f t="shared" si="149"/>
        <v>0.11325909968912748</v>
      </c>
      <c r="P860" s="3">
        <f t="shared" si="150"/>
        <v>0.52828454609169695</v>
      </c>
      <c r="Q860" s="3">
        <f t="shared" si="151"/>
        <v>-0.6381202273849077</v>
      </c>
      <c r="R860" s="3">
        <f t="shared" si="153"/>
        <v>0.47171545390830305</v>
      </c>
    </row>
    <row r="861" spans="1:18" x14ac:dyDescent="0.3">
      <c r="A861" s="2">
        <v>857</v>
      </c>
      <c r="B861" s="2">
        <v>1</v>
      </c>
      <c r="C861" s="2">
        <v>25</v>
      </c>
      <c r="D861" s="2">
        <f t="shared" si="152"/>
        <v>625</v>
      </c>
      <c r="E861" s="2">
        <v>64.611999999999995</v>
      </c>
      <c r="F861" s="2">
        <v>178.14959999999999</v>
      </c>
      <c r="G861" s="2">
        <v>0.83885399999999999</v>
      </c>
      <c r="H861" s="2">
        <v>1</v>
      </c>
      <c r="I861" s="3">
        <f t="shared" si="143"/>
        <v>-0.49415924023173263</v>
      </c>
      <c r="J861" s="3">
        <f t="shared" si="144"/>
        <v>-0.57646527401108472</v>
      </c>
      <c r="K861" s="3">
        <f t="shared" si="145"/>
        <v>-1.0292873965629219</v>
      </c>
      <c r="L861" s="3">
        <f t="shared" si="146"/>
        <v>-0.16193354641774654</v>
      </c>
      <c r="M861" s="3">
        <f t="shared" si="147"/>
        <v>1.2171034167371648</v>
      </c>
      <c r="N861" s="3">
        <f t="shared" si="148"/>
        <v>-1.4496510960581555</v>
      </c>
      <c r="O861" s="3">
        <f t="shared" si="149"/>
        <v>-3.2023677073051524E-2</v>
      </c>
      <c r="P861" s="3">
        <f t="shared" si="150"/>
        <v>0.49199476484470112</v>
      </c>
      <c r="Q861" s="3">
        <f t="shared" si="151"/>
        <v>-0.70928720310599069</v>
      </c>
      <c r="R861" s="3">
        <f t="shared" si="153"/>
        <v>0.50800523515529883</v>
      </c>
    </row>
    <row r="862" spans="1:18" x14ac:dyDescent="0.3">
      <c r="A862" s="2">
        <v>858</v>
      </c>
      <c r="B862" s="2">
        <v>0</v>
      </c>
      <c r="C862" s="2">
        <v>25</v>
      </c>
      <c r="D862" s="2">
        <f t="shared" si="152"/>
        <v>625</v>
      </c>
      <c r="E862" s="2">
        <v>80.028999999999996</v>
      </c>
      <c r="F862" s="2">
        <v>173.80439999999999</v>
      </c>
      <c r="G862" s="2">
        <v>0.67101299999999997</v>
      </c>
      <c r="H862" s="2">
        <v>5</v>
      </c>
      <c r="I862" s="3">
        <f t="shared" si="143"/>
        <v>-0.49415924023173263</v>
      </c>
      <c r="J862" s="3">
        <f t="shared" si="144"/>
        <v>-0.57646527401108472</v>
      </c>
      <c r="K862" s="3">
        <f t="shared" si="145"/>
        <v>0.52914674906061676</v>
      </c>
      <c r="L862" s="3">
        <f t="shared" si="146"/>
        <v>-0.60133440733896781</v>
      </c>
      <c r="M862" s="3">
        <f t="shared" si="147"/>
        <v>0.63062484607998803</v>
      </c>
      <c r="N862" s="3">
        <f t="shared" si="148"/>
        <v>0.90176998432814681</v>
      </c>
      <c r="O862" s="3">
        <f t="shared" si="149"/>
        <v>5.2096915523594169E-2</v>
      </c>
      <c r="P862" s="3">
        <f t="shared" si="150"/>
        <v>0.51302128393757784</v>
      </c>
      <c r="Q862" s="3">
        <f t="shared" si="151"/>
        <v>-0.71953486103854103</v>
      </c>
      <c r="R862" s="3">
        <f t="shared" si="153"/>
        <v>-0.51302128393757784</v>
      </c>
    </row>
    <row r="863" spans="1:18" x14ac:dyDescent="0.3">
      <c r="A863" s="2">
        <v>859</v>
      </c>
      <c r="B863" s="2">
        <v>0</v>
      </c>
      <c r="C863" s="2">
        <v>34</v>
      </c>
      <c r="D863" s="2">
        <f t="shared" si="152"/>
        <v>1156</v>
      </c>
      <c r="E863" s="2">
        <v>78.262699999999995</v>
      </c>
      <c r="F863" s="2">
        <v>181.53829999999999</v>
      </c>
      <c r="G863" s="2">
        <v>0.69702399999999998</v>
      </c>
      <c r="H863" s="2">
        <v>1</v>
      </c>
      <c r="I863" s="3">
        <f t="shared" si="143"/>
        <v>0.8823288941184968</v>
      </c>
      <c r="J863" s="3">
        <f t="shared" si="144"/>
        <v>0.84927919610207925</v>
      </c>
      <c r="K863" s="3">
        <f t="shared" si="145"/>
        <v>0.35059954588134334</v>
      </c>
      <c r="L863" s="3">
        <f t="shared" si="146"/>
        <v>0.18074290055908787</v>
      </c>
      <c r="M863" s="3">
        <f t="shared" si="147"/>
        <v>0.72151380706904211</v>
      </c>
      <c r="N863" s="3">
        <f t="shared" si="148"/>
        <v>-1.4496510960581555</v>
      </c>
      <c r="O863" s="3">
        <f t="shared" si="149"/>
        <v>-1.2774495178968337E-2</v>
      </c>
      <c r="P863" s="3">
        <f t="shared" si="150"/>
        <v>0.49680641963456657</v>
      </c>
      <c r="Q863" s="3">
        <f t="shared" si="151"/>
        <v>-0.68678033129764815</v>
      </c>
      <c r="R863" s="3">
        <f t="shared" si="153"/>
        <v>-0.49680641963456657</v>
      </c>
    </row>
    <row r="864" spans="1:18" x14ac:dyDescent="0.3">
      <c r="A864" s="2">
        <v>860</v>
      </c>
      <c r="B864" s="2">
        <v>1</v>
      </c>
      <c r="C864" s="2">
        <v>29</v>
      </c>
      <c r="D864" s="2">
        <f t="shared" si="152"/>
        <v>841</v>
      </c>
      <c r="E864" s="2">
        <v>75.303100000000001</v>
      </c>
      <c r="F864" s="2">
        <v>187.66470000000001</v>
      </c>
      <c r="G864" s="2">
        <v>0.362983</v>
      </c>
      <c r="H864" s="2">
        <v>2</v>
      </c>
      <c r="I864" s="3">
        <f t="shared" si="143"/>
        <v>0.1176132639239249</v>
      </c>
      <c r="J864" s="3">
        <f t="shared" si="144"/>
        <v>3.4985782383379449E-3</v>
      </c>
      <c r="K864" s="3">
        <f t="shared" si="145"/>
        <v>5.1427093563290796E-2</v>
      </c>
      <c r="L864" s="3">
        <f t="shared" si="146"/>
        <v>0.80026454153022264</v>
      </c>
      <c r="M864" s="3">
        <f t="shared" si="147"/>
        <v>-0.44570926846610071</v>
      </c>
      <c r="N864" s="3">
        <f t="shared" si="148"/>
        <v>-0.86179582596158</v>
      </c>
      <c r="O864" s="3">
        <f t="shared" si="149"/>
        <v>5.7804083157280715E-2</v>
      </c>
      <c r="P864" s="3">
        <f t="shared" si="150"/>
        <v>0.51444699835253616</v>
      </c>
      <c r="Q864" s="3">
        <f t="shared" si="151"/>
        <v>-0.66466274485022103</v>
      </c>
      <c r="R864" s="3">
        <f t="shared" si="153"/>
        <v>0.48555300164746384</v>
      </c>
    </row>
    <row r="865" spans="1:18" x14ac:dyDescent="0.3">
      <c r="A865" s="2">
        <v>861</v>
      </c>
      <c r="B865" s="2">
        <v>0</v>
      </c>
      <c r="C865" s="2">
        <v>36</v>
      </c>
      <c r="D865" s="2">
        <f t="shared" si="152"/>
        <v>1296</v>
      </c>
      <c r="E865" s="2">
        <v>74.056299999999993</v>
      </c>
      <c r="F865" s="2">
        <v>162.82210000000001</v>
      </c>
      <c r="G865" s="2">
        <v>0.87927999999999995</v>
      </c>
      <c r="H865" s="2">
        <v>3</v>
      </c>
      <c r="I865" s="3">
        <f t="shared" si="143"/>
        <v>1.1882151461963255</v>
      </c>
      <c r="J865" s="3">
        <f t="shared" si="144"/>
        <v>1.2251816929304087</v>
      </c>
      <c r="K865" s="3">
        <f t="shared" si="145"/>
        <v>-7.4606226327961697E-2</v>
      </c>
      <c r="L865" s="3">
        <f t="shared" si="146"/>
        <v>-1.7119005665249925</v>
      </c>
      <c r="M865" s="3">
        <f t="shared" si="147"/>
        <v>1.3583620049092264</v>
      </c>
      <c r="N865" s="3">
        <f t="shared" si="148"/>
        <v>-0.27394055586500432</v>
      </c>
      <c r="O865" s="3">
        <f t="shared" si="149"/>
        <v>-0.12687024406820921</v>
      </c>
      <c r="P865" s="3">
        <f t="shared" si="150"/>
        <v>0.46832491459260578</v>
      </c>
      <c r="Q865" s="3">
        <f t="shared" si="151"/>
        <v>-0.6317227179346101</v>
      </c>
      <c r="R865" s="3">
        <f t="shared" si="153"/>
        <v>-0.46832491459260578</v>
      </c>
    </row>
    <row r="866" spans="1:18" x14ac:dyDescent="0.3">
      <c r="A866" s="2">
        <v>862</v>
      </c>
      <c r="B866" s="2">
        <v>0</v>
      </c>
      <c r="C866" s="2">
        <v>27</v>
      </c>
      <c r="D866" s="2">
        <f t="shared" si="152"/>
        <v>729</v>
      </c>
      <c r="E866" s="2">
        <v>74.141099999999994</v>
      </c>
      <c r="F866" s="2">
        <v>182.84870000000001</v>
      </c>
      <c r="G866" s="2">
        <v>0.72537200000000002</v>
      </c>
      <c r="H866" s="2">
        <v>3</v>
      </c>
      <c r="I866" s="3">
        <f t="shared" si="143"/>
        <v>-0.18827298815390386</v>
      </c>
      <c r="J866" s="3">
        <f t="shared" si="144"/>
        <v>-0.29722341922432566</v>
      </c>
      <c r="K866" s="3">
        <f t="shared" si="145"/>
        <v>-6.6034181471707032E-2</v>
      </c>
      <c r="L866" s="3">
        <f t="shared" si="146"/>
        <v>0.31325484204651644</v>
      </c>
      <c r="M866" s="3">
        <f t="shared" si="147"/>
        <v>0.82056883248589296</v>
      </c>
      <c r="N866" s="3">
        <f t="shared" si="148"/>
        <v>-0.27394055586500432</v>
      </c>
      <c r="O866" s="3">
        <f t="shared" si="149"/>
        <v>5.4483224911386656E-3</v>
      </c>
      <c r="P866" s="3">
        <f t="shared" si="150"/>
        <v>0.50136207725343651</v>
      </c>
      <c r="Q866" s="3">
        <f t="shared" si="151"/>
        <v>-0.69587505232817126</v>
      </c>
      <c r="R866" s="3">
        <f t="shared" si="153"/>
        <v>-0.50136207725343651</v>
      </c>
    </row>
    <row r="867" spans="1:18" x14ac:dyDescent="0.3">
      <c r="A867" s="2">
        <v>863</v>
      </c>
      <c r="B867" s="2">
        <v>1</v>
      </c>
      <c r="C867" s="2">
        <v>26</v>
      </c>
      <c r="D867" s="2">
        <f t="shared" si="152"/>
        <v>676</v>
      </c>
      <c r="E867" s="2">
        <v>83.126900000000006</v>
      </c>
      <c r="F867" s="2">
        <v>188.1035</v>
      </c>
      <c r="G867" s="2">
        <v>0.11259</v>
      </c>
      <c r="H867" s="2">
        <v>6</v>
      </c>
      <c r="I867" s="3">
        <f t="shared" si="143"/>
        <v>-0.34121611419281822</v>
      </c>
      <c r="J867" s="3">
        <f t="shared" si="144"/>
        <v>-0.43952936445219321</v>
      </c>
      <c r="K867" s="3">
        <f t="shared" si="145"/>
        <v>0.84229931698739735</v>
      </c>
      <c r="L867" s="3">
        <f t="shared" si="146"/>
        <v>0.84463743524563861</v>
      </c>
      <c r="M867" s="3">
        <f t="shared" si="147"/>
        <v>-1.3206452420515917</v>
      </c>
      <c r="N867" s="3">
        <f t="shared" si="148"/>
        <v>1.4896252544247224</v>
      </c>
      <c r="O867" s="3">
        <f t="shared" si="149"/>
        <v>0.1612369876321412</v>
      </c>
      <c r="P867" s="3">
        <f t="shared" si="150"/>
        <v>0.54022214548742054</v>
      </c>
      <c r="Q867" s="3">
        <f t="shared" si="151"/>
        <v>-0.61577484348532852</v>
      </c>
      <c r="R867" s="3">
        <f t="shared" si="153"/>
        <v>0.45977785451257946</v>
      </c>
    </row>
    <row r="868" spans="1:18" x14ac:dyDescent="0.3">
      <c r="A868" s="2">
        <v>864</v>
      </c>
      <c r="B868" s="2">
        <v>0</v>
      </c>
      <c r="C868" s="2">
        <v>22</v>
      </c>
      <c r="D868" s="2">
        <f t="shared" si="152"/>
        <v>484</v>
      </c>
      <c r="E868" s="2">
        <v>80.7791</v>
      </c>
      <c r="F868" s="2">
        <v>177.30359999999999</v>
      </c>
      <c r="G868" s="2">
        <v>0.40777799999999997</v>
      </c>
      <c r="H868" s="2">
        <v>4</v>
      </c>
      <c r="I868" s="3">
        <f t="shared" si="143"/>
        <v>-0.9529886183484757</v>
      </c>
      <c r="J868" s="3">
        <f t="shared" si="144"/>
        <v>-0.9550527886739022</v>
      </c>
      <c r="K868" s="3">
        <f t="shared" si="145"/>
        <v>0.60497093357331189</v>
      </c>
      <c r="L868" s="3">
        <f t="shared" si="146"/>
        <v>-0.24748383831210222</v>
      </c>
      <c r="M868" s="3">
        <f t="shared" si="147"/>
        <v>-0.2891842979726682</v>
      </c>
      <c r="N868" s="3">
        <f t="shared" si="148"/>
        <v>0.31391471423157125</v>
      </c>
      <c r="O868" s="3">
        <f t="shared" si="149"/>
        <v>0.18422611498553648</v>
      </c>
      <c r="P868" s="3">
        <f t="shared" si="150"/>
        <v>0.54592670894654627</v>
      </c>
      <c r="Q868" s="3">
        <f t="shared" si="151"/>
        <v>-0.78949665993141693</v>
      </c>
      <c r="R868" s="3">
        <f t="shared" si="153"/>
        <v>-0.54592670894654627</v>
      </c>
    </row>
    <row r="869" spans="1:18" x14ac:dyDescent="0.3">
      <c r="A869" s="2">
        <v>865</v>
      </c>
      <c r="B869" s="2">
        <v>1</v>
      </c>
      <c r="C869" s="2">
        <v>23</v>
      </c>
      <c r="D869" s="2">
        <f t="shared" si="152"/>
        <v>529</v>
      </c>
      <c r="E869" s="2">
        <v>75.3048</v>
      </c>
      <c r="F869" s="2">
        <v>191.06960000000001</v>
      </c>
      <c r="G869" s="2">
        <v>0.88637999999999995</v>
      </c>
      <c r="H869" s="2">
        <v>6</v>
      </c>
      <c r="I869" s="3">
        <f t="shared" si="143"/>
        <v>-0.80004549230956135</v>
      </c>
      <c r="J869" s="3">
        <f t="shared" si="144"/>
        <v>-0.83422698612193913</v>
      </c>
      <c r="K869" s="3">
        <f t="shared" si="145"/>
        <v>5.1598938802154347E-2</v>
      </c>
      <c r="L869" s="3">
        <f t="shared" si="146"/>
        <v>1.1445791855858849</v>
      </c>
      <c r="M869" s="3">
        <f t="shared" si="147"/>
        <v>1.3831711865255534</v>
      </c>
      <c r="N869" s="3">
        <f t="shared" si="148"/>
        <v>1.4896252544247224</v>
      </c>
      <c r="O869" s="3">
        <f t="shared" si="149"/>
        <v>6.6728405124189594E-2</v>
      </c>
      <c r="P869" s="3">
        <f t="shared" si="150"/>
        <v>0.51667591403105284</v>
      </c>
      <c r="Q869" s="3">
        <f t="shared" si="151"/>
        <v>-0.66033945977250552</v>
      </c>
      <c r="R869" s="3">
        <f t="shared" si="153"/>
        <v>0.48332408596894716</v>
      </c>
    </row>
    <row r="870" spans="1:18" x14ac:dyDescent="0.3">
      <c r="A870" s="2">
        <v>866</v>
      </c>
      <c r="B870" s="2">
        <v>0</v>
      </c>
      <c r="C870" s="2">
        <v>37</v>
      </c>
      <c r="D870" s="2">
        <f t="shared" si="152"/>
        <v>1369</v>
      </c>
      <c r="E870" s="2">
        <v>60.080599999999997</v>
      </c>
      <c r="F870" s="2">
        <v>186.4119</v>
      </c>
      <c r="G870" s="2">
        <v>4.7197000000000003E-2</v>
      </c>
      <c r="H870" s="2">
        <v>2</v>
      </c>
      <c r="I870" s="3">
        <f t="shared" si="143"/>
        <v>1.34115827223524</v>
      </c>
      <c r="J870" s="3">
        <f t="shared" si="144"/>
        <v>1.4211879948480377</v>
      </c>
      <c r="K870" s="3">
        <f t="shared" si="145"/>
        <v>-1.4873459350255607</v>
      </c>
      <c r="L870" s="3">
        <f t="shared" si="146"/>
        <v>0.67357730076751698</v>
      </c>
      <c r="M870" s="3">
        <f t="shared" si="147"/>
        <v>-1.5491447932398281</v>
      </c>
      <c r="N870" s="3">
        <f t="shared" si="148"/>
        <v>-0.86179582596158</v>
      </c>
      <c r="O870" s="3">
        <f t="shared" si="149"/>
        <v>-2.8684934660202367E-2</v>
      </c>
      <c r="P870" s="3">
        <f t="shared" si="150"/>
        <v>0.49282925801730565</v>
      </c>
      <c r="Q870" s="3">
        <f t="shared" si="151"/>
        <v>-0.67890756288833587</v>
      </c>
      <c r="R870" s="3">
        <f t="shared" si="153"/>
        <v>-0.49282925801730565</v>
      </c>
    </row>
    <row r="871" spans="1:18" x14ac:dyDescent="0.3">
      <c r="A871" s="2">
        <v>867</v>
      </c>
      <c r="B871" s="2">
        <v>0</v>
      </c>
      <c r="C871" s="2">
        <v>19</v>
      </c>
      <c r="D871" s="2">
        <f t="shared" si="152"/>
        <v>361</v>
      </c>
      <c r="E871" s="2">
        <v>79.944400000000002</v>
      </c>
      <c r="F871" s="2">
        <v>201.41380000000001</v>
      </c>
      <c r="G871" s="2">
        <v>0.96141699999999997</v>
      </c>
      <c r="H871" s="2">
        <v>6</v>
      </c>
      <c r="I871" s="3">
        <f t="shared" si="143"/>
        <v>-1.4118179964652189</v>
      </c>
      <c r="J871" s="3">
        <f t="shared" si="144"/>
        <v>-1.2853099823159346</v>
      </c>
      <c r="K871" s="3">
        <f t="shared" si="145"/>
        <v>0.52059492129128793</v>
      </c>
      <c r="L871" s="3">
        <f t="shared" si="146"/>
        <v>2.1906185820558499</v>
      </c>
      <c r="M871" s="3">
        <f t="shared" si="147"/>
        <v>1.645369293700812</v>
      </c>
      <c r="N871" s="3">
        <f t="shared" si="148"/>
        <v>1.4896252544247224</v>
      </c>
      <c r="O871" s="3">
        <f t="shared" si="149"/>
        <v>0.22738867832895845</v>
      </c>
      <c r="P871" s="3">
        <f t="shared" si="150"/>
        <v>0.55660348634722523</v>
      </c>
      <c r="Q871" s="3">
        <f t="shared" si="151"/>
        <v>-0.81329084458957746</v>
      </c>
      <c r="R871" s="3">
        <f t="shared" si="153"/>
        <v>-0.55660348634722523</v>
      </c>
    </row>
    <row r="872" spans="1:18" x14ac:dyDescent="0.3">
      <c r="A872" s="2">
        <v>868</v>
      </c>
      <c r="B872" s="2">
        <v>0</v>
      </c>
      <c r="C872" s="2">
        <v>30</v>
      </c>
      <c r="D872" s="2">
        <f t="shared" si="152"/>
        <v>900</v>
      </c>
      <c r="E872" s="2">
        <v>82.236099999999993</v>
      </c>
      <c r="F872" s="2">
        <v>172.494</v>
      </c>
      <c r="G872" s="2">
        <v>0.67916299999999996</v>
      </c>
      <c r="H872" s="2">
        <v>3</v>
      </c>
      <c r="I872" s="3">
        <f t="shared" si="143"/>
        <v>0.27055638996283926</v>
      </c>
      <c r="J872" s="3">
        <f t="shared" si="144"/>
        <v>0.16191463047313392</v>
      </c>
      <c r="K872" s="3">
        <f t="shared" si="145"/>
        <v>0.75225241182287317</v>
      </c>
      <c r="L872" s="3">
        <f t="shared" si="146"/>
        <v>-0.73384634882639355</v>
      </c>
      <c r="M872" s="3">
        <f t="shared" si="147"/>
        <v>0.65910299117478599</v>
      </c>
      <c r="N872" s="3">
        <f t="shared" si="148"/>
        <v>-0.27394055586500432</v>
      </c>
      <c r="O872" s="3">
        <f t="shared" si="149"/>
        <v>1.9030164233148237E-3</v>
      </c>
      <c r="P872" s="3">
        <f t="shared" si="150"/>
        <v>0.5004757539622513</v>
      </c>
      <c r="Q872" s="3">
        <f t="shared" si="151"/>
        <v>-0.69409914145547291</v>
      </c>
      <c r="R872" s="3">
        <f t="shared" si="153"/>
        <v>-0.5004757539622513</v>
      </c>
    </row>
    <row r="873" spans="1:18" x14ac:dyDescent="0.3">
      <c r="A873" s="2">
        <v>869</v>
      </c>
      <c r="B873" s="2">
        <v>1</v>
      </c>
      <c r="C873" s="2">
        <v>23</v>
      </c>
      <c r="D873" s="2">
        <f t="shared" si="152"/>
        <v>529</v>
      </c>
      <c r="E873" s="2">
        <v>98.004099999999994</v>
      </c>
      <c r="F873" s="2">
        <v>188.30709999999999</v>
      </c>
      <c r="G873" s="2">
        <v>0.63137600000000005</v>
      </c>
      <c r="H873" s="2">
        <v>4</v>
      </c>
      <c r="I873" s="3">
        <f t="shared" si="143"/>
        <v>-0.80004549230956135</v>
      </c>
      <c r="J873" s="3">
        <f t="shared" si="144"/>
        <v>-0.83422698612193913</v>
      </c>
      <c r="K873" s="3">
        <f t="shared" si="145"/>
        <v>2.3461675450000126</v>
      </c>
      <c r="L873" s="3">
        <f t="shared" si="146"/>
        <v>0.86522613433510709</v>
      </c>
      <c r="M873" s="3">
        <f t="shared" si="147"/>
        <v>0.49212322189317759</v>
      </c>
      <c r="N873" s="3">
        <f t="shared" si="148"/>
        <v>0.31391471423157125</v>
      </c>
      <c r="O873" s="3">
        <f t="shared" si="149"/>
        <v>0.26494750575326337</v>
      </c>
      <c r="P873" s="3">
        <f t="shared" si="150"/>
        <v>0.56585210701968058</v>
      </c>
      <c r="Q873" s="3">
        <f t="shared" si="151"/>
        <v>-0.56942252994067744</v>
      </c>
      <c r="R873" s="3">
        <f t="shared" si="153"/>
        <v>0.43414789298031942</v>
      </c>
    </row>
    <row r="874" spans="1:18" x14ac:dyDescent="0.3">
      <c r="A874" s="2">
        <v>870</v>
      </c>
      <c r="B874" s="2">
        <v>0</v>
      </c>
      <c r="C874" s="2">
        <v>22</v>
      </c>
      <c r="D874" s="2">
        <f t="shared" si="152"/>
        <v>484</v>
      </c>
      <c r="E874" s="2">
        <v>85.754300000000001</v>
      </c>
      <c r="F874" s="2">
        <v>169.82679999999999</v>
      </c>
      <c r="G874" s="2">
        <v>0.27055899999999999</v>
      </c>
      <c r="H874" s="2">
        <v>2</v>
      </c>
      <c r="I874" s="3">
        <f t="shared" si="143"/>
        <v>-0.9529886183484757</v>
      </c>
      <c r="J874" s="3">
        <f t="shared" si="144"/>
        <v>-0.9550527886739022</v>
      </c>
      <c r="K874" s="3">
        <f t="shared" si="145"/>
        <v>1.1078911879228113</v>
      </c>
      <c r="L874" s="3">
        <f t="shared" si="146"/>
        <v>-1.0035623518294967</v>
      </c>
      <c r="M874" s="3">
        <f t="shared" si="147"/>
        <v>-0.76866191659390559</v>
      </c>
      <c r="N874" s="3">
        <f t="shared" si="148"/>
        <v>-0.86179582596158</v>
      </c>
      <c r="O874" s="3">
        <f t="shared" si="149"/>
        <v>0.23644505265560639</v>
      </c>
      <c r="P874" s="3">
        <f t="shared" si="150"/>
        <v>0.55883740329190934</v>
      </c>
      <c r="Q874" s="3">
        <f t="shared" si="151"/>
        <v>-0.81834177147009424</v>
      </c>
      <c r="R874" s="3">
        <f t="shared" si="153"/>
        <v>-0.55883740329190934</v>
      </c>
    </row>
    <row r="875" spans="1:18" x14ac:dyDescent="0.3">
      <c r="A875" s="2">
        <v>871</v>
      </c>
      <c r="B875" s="2">
        <v>0</v>
      </c>
      <c r="C875" s="2">
        <v>18</v>
      </c>
      <c r="D875" s="2">
        <f t="shared" si="152"/>
        <v>324</v>
      </c>
      <c r="E875" s="2">
        <v>56.008200000000002</v>
      </c>
      <c r="F875" s="2">
        <v>163.84630000000001</v>
      </c>
      <c r="G875" s="2">
        <v>0.24879200000000001</v>
      </c>
      <c r="H875" s="2">
        <v>3</v>
      </c>
      <c r="I875" s="3">
        <f t="shared" si="143"/>
        <v>-1.5647611225041334</v>
      </c>
      <c r="J875" s="3">
        <f t="shared" si="144"/>
        <v>-1.3846556421919931</v>
      </c>
      <c r="K875" s="3">
        <f t="shared" si="145"/>
        <v>-1.8990062589950287</v>
      </c>
      <c r="L875" s="3">
        <f t="shared" si="146"/>
        <v>-1.6083301067635276</v>
      </c>
      <c r="M875" s="3">
        <f t="shared" si="147"/>
        <v>-0.84472127662807339</v>
      </c>
      <c r="N875" s="3">
        <f t="shared" si="148"/>
        <v>-0.27394055586500432</v>
      </c>
      <c r="O875" s="3">
        <f t="shared" si="149"/>
        <v>0.14564739681156441</v>
      </c>
      <c r="P875" s="3">
        <f t="shared" si="150"/>
        <v>0.5363476179096901</v>
      </c>
      <c r="Q875" s="3">
        <f t="shared" si="151"/>
        <v>-0.76862018405836363</v>
      </c>
      <c r="R875" s="3">
        <f t="shared" si="153"/>
        <v>-0.5363476179096901</v>
      </c>
    </row>
    <row r="876" spans="1:18" x14ac:dyDescent="0.3">
      <c r="A876" s="2">
        <v>872</v>
      </c>
      <c r="B876" s="2">
        <v>1</v>
      </c>
      <c r="C876" s="2">
        <v>38</v>
      </c>
      <c r="D876" s="2">
        <f t="shared" si="152"/>
        <v>1444</v>
      </c>
      <c r="E876" s="2">
        <v>75.784300000000002</v>
      </c>
      <c r="F876" s="2">
        <v>159.6447</v>
      </c>
      <c r="G876" s="2">
        <v>0.94205799999999995</v>
      </c>
      <c r="H876" s="2">
        <v>1</v>
      </c>
      <c r="I876" s="3">
        <f t="shared" si="143"/>
        <v>1.4941013982741542</v>
      </c>
      <c r="J876" s="3">
        <f t="shared" si="144"/>
        <v>1.6225643324346428</v>
      </c>
      <c r="K876" s="3">
        <f t="shared" si="145"/>
        <v>0.10006940470515034</v>
      </c>
      <c r="L876" s="3">
        <f t="shared" si="146"/>
        <v>-2.033209665183533</v>
      </c>
      <c r="M876" s="3">
        <f t="shared" si="147"/>
        <v>1.5777240899106042</v>
      </c>
      <c r="N876" s="3">
        <f t="shared" si="148"/>
        <v>-1.4496510960581555</v>
      </c>
      <c r="O876" s="3">
        <f t="shared" si="149"/>
        <v>-0.10618211753353733</v>
      </c>
      <c r="P876" s="3">
        <f t="shared" si="150"/>
        <v>0.47347938347386481</v>
      </c>
      <c r="Q876" s="3">
        <f t="shared" si="151"/>
        <v>-0.74764690801382316</v>
      </c>
      <c r="R876" s="3">
        <f t="shared" si="153"/>
        <v>0.52652061652613513</v>
      </c>
    </row>
    <row r="877" spans="1:18" x14ac:dyDescent="0.3">
      <c r="A877" s="2">
        <v>873</v>
      </c>
      <c r="B877" s="2">
        <v>1</v>
      </c>
      <c r="C877" s="2">
        <v>39</v>
      </c>
      <c r="D877" s="2">
        <f t="shared" si="152"/>
        <v>1521</v>
      </c>
      <c r="E877" s="2">
        <v>93.113799999999998</v>
      </c>
      <c r="F877" s="2">
        <v>185.38319999999999</v>
      </c>
      <c r="G877" s="2">
        <v>0.29827199999999998</v>
      </c>
      <c r="H877" s="2">
        <v>5</v>
      </c>
      <c r="I877" s="3">
        <f t="shared" si="143"/>
        <v>1.6470445243130687</v>
      </c>
      <c r="J877" s="3">
        <f t="shared" si="144"/>
        <v>1.829310705690224</v>
      </c>
      <c r="K877" s="3">
        <f t="shared" si="145"/>
        <v>1.8518294440502308</v>
      </c>
      <c r="L877" s="3">
        <f t="shared" si="146"/>
        <v>0.56955178626193237</v>
      </c>
      <c r="M877" s="3">
        <f t="shared" si="147"/>
        <v>-0.67182574051879684</v>
      </c>
      <c r="N877" s="3">
        <f t="shared" si="148"/>
        <v>0.90176998432814681</v>
      </c>
      <c r="O877" s="3">
        <f t="shared" si="149"/>
        <v>0.13980122123441127</v>
      </c>
      <c r="P877" s="3">
        <f t="shared" si="150"/>
        <v>0.53489349283423304</v>
      </c>
      <c r="Q877" s="3">
        <f t="shared" si="151"/>
        <v>-0.62568763071946576</v>
      </c>
      <c r="R877" s="3">
        <f t="shared" si="153"/>
        <v>0.46510650716576696</v>
      </c>
    </row>
    <row r="878" spans="1:18" x14ac:dyDescent="0.3">
      <c r="A878" s="2">
        <v>874</v>
      </c>
      <c r="B878" s="2">
        <v>0</v>
      </c>
      <c r="C878" s="2">
        <v>38</v>
      </c>
      <c r="D878" s="2">
        <f t="shared" si="152"/>
        <v>1444</v>
      </c>
      <c r="E878" s="2">
        <v>81.235500000000002</v>
      </c>
      <c r="F878" s="2">
        <v>181.8425</v>
      </c>
      <c r="G878" s="2">
        <v>0.775505</v>
      </c>
      <c r="H878" s="2">
        <v>2</v>
      </c>
      <c r="I878" s="3">
        <f t="shared" si="143"/>
        <v>1.4941013982741542</v>
      </c>
      <c r="J878" s="3">
        <f t="shared" si="144"/>
        <v>1.6225643324346428</v>
      </c>
      <c r="K878" s="3">
        <f t="shared" si="145"/>
        <v>0.65110632593645568</v>
      </c>
      <c r="L878" s="3">
        <f t="shared" si="146"/>
        <v>0.21150460126152715</v>
      </c>
      <c r="M878" s="3">
        <f t="shared" si="147"/>
        <v>0.99574611445368533</v>
      </c>
      <c r="N878" s="3">
        <f t="shared" si="148"/>
        <v>-0.86179582596158</v>
      </c>
      <c r="O878" s="3">
        <f t="shared" si="149"/>
        <v>-1.4907198928578672E-3</v>
      </c>
      <c r="P878" s="3">
        <f t="shared" si="150"/>
        <v>0.49962732009580108</v>
      </c>
      <c r="Q878" s="3">
        <f t="shared" si="151"/>
        <v>-0.6924020983942154</v>
      </c>
      <c r="R878" s="3">
        <f t="shared" si="153"/>
        <v>-0.49962732009580108</v>
      </c>
    </row>
    <row r="879" spans="1:18" x14ac:dyDescent="0.3">
      <c r="A879" s="2">
        <v>875</v>
      </c>
      <c r="B879" s="2">
        <v>1</v>
      </c>
      <c r="C879" s="2">
        <v>23</v>
      </c>
      <c r="D879" s="2">
        <f t="shared" si="152"/>
        <v>529</v>
      </c>
      <c r="E879" s="2">
        <v>78.286500000000004</v>
      </c>
      <c r="F879" s="2">
        <v>175.20949999999999</v>
      </c>
      <c r="G879" s="2">
        <v>0.39312200000000003</v>
      </c>
      <c r="H879" s="2">
        <v>4</v>
      </c>
      <c r="I879" s="3">
        <f t="shared" si="143"/>
        <v>-0.80004549230956135</v>
      </c>
      <c r="J879" s="3">
        <f t="shared" si="144"/>
        <v>-0.83422698612193913</v>
      </c>
      <c r="K879" s="3">
        <f t="shared" si="145"/>
        <v>0.35300537922543451</v>
      </c>
      <c r="L879" s="3">
        <f t="shared" si="146"/>
        <v>-0.4592460915697491</v>
      </c>
      <c r="M879" s="3">
        <f t="shared" si="147"/>
        <v>-0.34039603963025811</v>
      </c>
      <c r="N879" s="3">
        <f t="shared" si="148"/>
        <v>0.31391471423157125</v>
      </c>
      <c r="O879" s="3">
        <f t="shared" si="149"/>
        <v>0.13896123277491304</v>
      </c>
      <c r="P879" s="3">
        <f t="shared" si="150"/>
        <v>0.53468451233925662</v>
      </c>
      <c r="Q879" s="3">
        <f t="shared" si="151"/>
        <v>-0.62607840258766967</v>
      </c>
      <c r="R879" s="3">
        <f t="shared" si="153"/>
        <v>0.46531548766074338</v>
      </c>
    </row>
    <row r="880" spans="1:18" x14ac:dyDescent="0.3">
      <c r="A880" s="2">
        <v>876</v>
      </c>
      <c r="B880" s="2">
        <v>0</v>
      </c>
      <c r="C880" s="2">
        <v>23</v>
      </c>
      <c r="D880" s="2">
        <f t="shared" si="152"/>
        <v>529</v>
      </c>
      <c r="E880" s="2">
        <v>84.002300000000005</v>
      </c>
      <c r="F880" s="2">
        <v>162.26499999999999</v>
      </c>
      <c r="G880" s="2">
        <v>0.13925399999999999</v>
      </c>
      <c r="H880" s="2">
        <v>6</v>
      </c>
      <c r="I880" s="3">
        <f t="shared" si="143"/>
        <v>-0.80004549230956135</v>
      </c>
      <c r="J880" s="3">
        <f t="shared" si="144"/>
        <v>-0.83422698612193913</v>
      </c>
      <c r="K880" s="3">
        <f t="shared" si="145"/>
        <v>0.93078950645868508</v>
      </c>
      <c r="L880" s="3">
        <f t="shared" si="146"/>
        <v>-1.7682363438469157</v>
      </c>
      <c r="M880" s="3">
        <f t="shared" si="147"/>
        <v>-1.2274745352040222</v>
      </c>
      <c r="N880" s="3">
        <f t="shared" si="148"/>
        <v>1.4896252544247224</v>
      </c>
      <c r="O880" s="3">
        <f t="shared" si="149"/>
        <v>0.16780616650889943</v>
      </c>
      <c r="P880" s="3">
        <f t="shared" si="150"/>
        <v>0.54185337557080149</v>
      </c>
      <c r="Q880" s="3">
        <f t="shared" si="151"/>
        <v>-0.78056600542693766</v>
      </c>
      <c r="R880" s="3">
        <f t="shared" si="153"/>
        <v>-0.54185337557080149</v>
      </c>
    </row>
    <row r="881" spans="1:18" x14ac:dyDescent="0.3">
      <c r="A881" s="2">
        <v>877</v>
      </c>
      <c r="B881" s="2">
        <v>0</v>
      </c>
      <c r="C881" s="2">
        <v>33</v>
      </c>
      <c r="D881" s="2">
        <f t="shared" si="152"/>
        <v>1089</v>
      </c>
      <c r="E881" s="2">
        <v>68.776200000000003</v>
      </c>
      <c r="F881" s="2">
        <v>173.09610000000001</v>
      </c>
      <c r="G881" s="2">
        <v>1.0715000000000001E-2</v>
      </c>
      <c r="H881" s="2">
        <v>6</v>
      </c>
      <c r="I881" s="3">
        <f t="shared" si="143"/>
        <v>0.72938576807958244</v>
      </c>
      <c r="J881" s="3">
        <f t="shared" si="144"/>
        <v>0.66938300119137872</v>
      </c>
      <c r="K881" s="3">
        <f t="shared" si="145"/>
        <v>-0.60834742969481848</v>
      </c>
      <c r="L881" s="3">
        <f t="shared" si="146"/>
        <v>-0.67296002406328248</v>
      </c>
      <c r="M881" s="3">
        <f t="shared" si="147"/>
        <v>-1.6766220557365668</v>
      </c>
      <c r="N881" s="3">
        <f t="shared" si="148"/>
        <v>1.4896252544247224</v>
      </c>
      <c r="O881" s="3">
        <f t="shared" si="149"/>
        <v>-3.1861238076887941E-2</v>
      </c>
      <c r="P881" s="3">
        <f t="shared" si="150"/>
        <v>0.49203536423674021</v>
      </c>
      <c r="Q881" s="3">
        <f t="shared" si="151"/>
        <v>-0.67734344846611905</v>
      </c>
      <c r="R881" s="3">
        <f t="shared" si="153"/>
        <v>-0.49203536423674021</v>
      </c>
    </row>
    <row r="882" spans="1:18" x14ac:dyDescent="0.3">
      <c r="A882" s="2">
        <v>878</v>
      </c>
      <c r="B882" s="2">
        <v>1</v>
      </c>
      <c r="C882" s="2">
        <v>21</v>
      </c>
      <c r="D882" s="2">
        <f t="shared" si="152"/>
        <v>441</v>
      </c>
      <c r="E882" s="2">
        <v>79.780900000000003</v>
      </c>
      <c r="F882" s="2">
        <v>180.04089999999999</v>
      </c>
      <c r="G882" s="2">
        <v>0.54425699999999999</v>
      </c>
      <c r="H882" s="2">
        <v>2</v>
      </c>
      <c r="I882" s="3">
        <f t="shared" si="143"/>
        <v>-1.1059317443873902</v>
      </c>
      <c r="J882" s="3">
        <f t="shared" si="144"/>
        <v>-1.0705085555568892</v>
      </c>
      <c r="K882" s="3">
        <f t="shared" si="145"/>
        <v>0.50406745272999531</v>
      </c>
      <c r="L882" s="3">
        <f t="shared" si="146"/>
        <v>2.932090637160846E-2</v>
      </c>
      <c r="M882" s="3">
        <f t="shared" si="147"/>
        <v>0.1877075749589803</v>
      </c>
      <c r="N882" s="3">
        <f t="shared" si="148"/>
        <v>-0.86179582596158</v>
      </c>
      <c r="O882" s="3">
        <f t="shared" si="149"/>
        <v>0.20829362286919534</v>
      </c>
      <c r="P882" s="3">
        <f t="shared" si="150"/>
        <v>0.55188594657901635</v>
      </c>
      <c r="Q882" s="3">
        <f t="shared" si="151"/>
        <v>-0.59441387256986278</v>
      </c>
      <c r="R882" s="3">
        <f t="shared" si="153"/>
        <v>0.44811405342098365</v>
      </c>
    </row>
    <row r="883" spans="1:18" x14ac:dyDescent="0.3">
      <c r="A883" s="2">
        <v>879</v>
      </c>
      <c r="B883" s="2">
        <v>1</v>
      </c>
      <c r="C883" s="2">
        <v>28</v>
      </c>
      <c r="D883" s="2">
        <f t="shared" si="152"/>
        <v>784</v>
      </c>
      <c r="E883" s="2">
        <v>72.4953</v>
      </c>
      <c r="F883" s="2">
        <v>187.93170000000001</v>
      </c>
      <c r="G883" s="2">
        <v>0.97577899999999995</v>
      </c>
      <c r="H883" s="2">
        <v>4</v>
      </c>
      <c r="I883" s="3">
        <f t="shared" si="143"/>
        <v>-3.5329862114989473E-2</v>
      </c>
      <c r="J883" s="3">
        <f t="shared" si="144"/>
        <v>-0.14954743832748191</v>
      </c>
      <c r="K883" s="3">
        <f t="shared" si="145"/>
        <v>-0.23240058977858974</v>
      </c>
      <c r="L883" s="3">
        <f t="shared" si="146"/>
        <v>0.82726445634794432</v>
      </c>
      <c r="M883" s="3">
        <f t="shared" si="147"/>
        <v>1.6955537255844302</v>
      </c>
      <c r="N883" s="3">
        <f t="shared" si="148"/>
        <v>0.31391471423157125</v>
      </c>
      <c r="O883" s="3">
        <f t="shared" si="149"/>
        <v>-5.4315865955300718E-2</v>
      </c>
      <c r="P883" s="3">
        <f t="shared" si="150"/>
        <v>0.48642437093052349</v>
      </c>
      <c r="Q883" s="3">
        <f t="shared" si="151"/>
        <v>-0.72067384487624331</v>
      </c>
      <c r="R883" s="3">
        <f t="shared" si="153"/>
        <v>0.51357562906947651</v>
      </c>
    </row>
    <row r="884" spans="1:18" x14ac:dyDescent="0.3">
      <c r="A884" s="2">
        <v>880</v>
      </c>
      <c r="B884" s="2">
        <v>1</v>
      </c>
      <c r="C884" s="2">
        <v>26</v>
      </c>
      <c r="D884" s="2">
        <f t="shared" si="152"/>
        <v>676</v>
      </c>
      <c r="E884" s="2">
        <v>74.803799999999995</v>
      </c>
      <c r="F884" s="2">
        <v>179.83459999999999</v>
      </c>
      <c r="G884" s="2">
        <v>0.36913600000000002</v>
      </c>
      <c r="H884" s="2">
        <v>2</v>
      </c>
      <c r="I884" s="3">
        <f t="shared" si="143"/>
        <v>-0.34121611419281822</v>
      </c>
      <c r="J884" s="3">
        <f t="shared" si="144"/>
        <v>-0.43952936445219321</v>
      </c>
      <c r="K884" s="3">
        <f t="shared" si="145"/>
        <v>9.5513605470670443E-4</v>
      </c>
      <c r="L884" s="3">
        <f t="shared" si="146"/>
        <v>8.4591744356682687E-3</v>
      </c>
      <c r="M884" s="3">
        <f t="shared" si="147"/>
        <v>-0.42420914248226116</v>
      </c>
      <c r="N884" s="3">
        <f t="shared" si="148"/>
        <v>-0.86179582596158</v>
      </c>
      <c r="O884" s="3">
        <f t="shared" si="149"/>
        <v>8.1388666150787201E-2</v>
      </c>
      <c r="P884" s="3">
        <f t="shared" si="150"/>
        <v>0.52033594214192214</v>
      </c>
      <c r="Q884" s="3">
        <f t="shared" si="151"/>
        <v>-0.65328063342171627</v>
      </c>
      <c r="R884" s="3">
        <f t="shared" si="153"/>
        <v>0.47966405785807786</v>
      </c>
    </row>
    <row r="885" spans="1:18" x14ac:dyDescent="0.3">
      <c r="A885" s="2">
        <v>881</v>
      </c>
      <c r="B885" s="2">
        <v>0</v>
      </c>
      <c r="C885" s="2">
        <v>20</v>
      </c>
      <c r="D885" s="2">
        <f t="shared" si="152"/>
        <v>400</v>
      </c>
      <c r="E885" s="2">
        <v>83.284499999999994</v>
      </c>
      <c r="F885" s="2">
        <v>182.5206</v>
      </c>
      <c r="G885" s="2">
        <v>0.35719200000000001</v>
      </c>
      <c r="H885" s="2">
        <v>4</v>
      </c>
      <c r="I885" s="3">
        <f t="shared" si="143"/>
        <v>-1.2588748704263044</v>
      </c>
      <c r="J885" s="3">
        <f t="shared" si="144"/>
        <v>-1.1805942867708998</v>
      </c>
      <c r="K885" s="3">
        <f t="shared" si="145"/>
        <v>0.85823038148439745</v>
      </c>
      <c r="L885" s="3">
        <f t="shared" si="146"/>
        <v>0.28007629503642362</v>
      </c>
      <c r="M885" s="3">
        <f t="shared" si="147"/>
        <v>-0.46594447561260072</v>
      </c>
      <c r="N885" s="3">
        <f t="shared" si="148"/>
        <v>0.31391471423157125</v>
      </c>
      <c r="O885" s="3">
        <f t="shared" si="149"/>
        <v>0.27897563557167721</v>
      </c>
      <c r="P885" s="3">
        <f t="shared" si="150"/>
        <v>0.56929506948183706</v>
      </c>
      <c r="Q885" s="3">
        <f t="shared" si="151"/>
        <v>-0.84233203930205436</v>
      </c>
      <c r="R885" s="3">
        <f t="shared" si="153"/>
        <v>-0.56929506948183706</v>
      </c>
    </row>
    <row r="886" spans="1:18" x14ac:dyDescent="0.3">
      <c r="A886" s="2">
        <v>882</v>
      </c>
      <c r="B886" s="2">
        <v>1</v>
      </c>
      <c r="C886" s="2">
        <v>36</v>
      </c>
      <c r="D886" s="2">
        <f t="shared" si="152"/>
        <v>1296</v>
      </c>
      <c r="E886" s="2">
        <v>65.732900000000001</v>
      </c>
      <c r="F886" s="2">
        <v>176.23869999999999</v>
      </c>
      <c r="G886" s="2">
        <v>0.34409200000000001</v>
      </c>
      <c r="H886" s="2">
        <v>6</v>
      </c>
      <c r="I886" s="3">
        <f t="shared" si="143"/>
        <v>1.1882151461963255</v>
      </c>
      <c r="J886" s="3">
        <f t="shared" si="144"/>
        <v>1.2251816929304087</v>
      </c>
      <c r="K886" s="3">
        <f t="shared" si="145"/>
        <v>-0.9159807328910381</v>
      </c>
      <c r="L886" s="3">
        <f t="shared" si="146"/>
        <v>-0.35517001542593024</v>
      </c>
      <c r="M886" s="3">
        <f t="shared" si="147"/>
        <v>-0.51171916282019014</v>
      </c>
      <c r="N886" s="3">
        <f t="shared" si="148"/>
        <v>1.4896252544247224</v>
      </c>
      <c r="O886" s="3">
        <f t="shared" si="149"/>
        <v>-9.5695681738045213E-2</v>
      </c>
      <c r="P886" s="3">
        <f t="shared" si="150"/>
        <v>0.47609432012932773</v>
      </c>
      <c r="Q886" s="3">
        <f t="shared" si="151"/>
        <v>-0.74213929284793778</v>
      </c>
      <c r="R886" s="3">
        <f t="shared" si="153"/>
        <v>0.52390567987067227</v>
      </c>
    </row>
    <row r="887" spans="1:18" x14ac:dyDescent="0.3">
      <c r="A887" s="2">
        <v>883</v>
      </c>
      <c r="B887" s="2">
        <v>0</v>
      </c>
      <c r="C887" s="2">
        <v>25</v>
      </c>
      <c r="D887" s="2">
        <f t="shared" si="152"/>
        <v>625</v>
      </c>
      <c r="E887" s="2">
        <v>87.879800000000003</v>
      </c>
      <c r="F887" s="2">
        <v>197.4922</v>
      </c>
      <c r="G887" s="2">
        <v>0.52054400000000001</v>
      </c>
      <c r="H887" s="2">
        <v>3</v>
      </c>
      <c r="I887" s="3">
        <f t="shared" si="143"/>
        <v>-0.49415924023173263</v>
      </c>
      <c r="J887" s="3">
        <f t="shared" si="144"/>
        <v>-0.57646527401108472</v>
      </c>
      <c r="K887" s="3">
        <f t="shared" si="145"/>
        <v>1.3227482792196157</v>
      </c>
      <c r="L887" s="3">
        <f t="shared" si="146"/>
        <v>1.7940535410476881</v>
      </c>
      <c r="M887" s="3">
        <f t="shared" si="147"/>
        <v>0.10484840261137979</v>
      </c>
      <c r="N887" s="3">
        <f t="shared" si="148"/>
        <v>-0.27394055586500432</v>
      </c>
      <c r="O887" s="3">
        <f t="shared" si="149"/>
        <v>0.19838654787558613</v>
      </c>
      <c r="P887" s="3">
        <f t="shared" si="150"/>
        <v>0.54943460914633668</v>
      </c>
      <c r="Q887" s="3">
        <f t="shared" si="151"/>
        <v>-0.79725206073879484</v>
      </c>
      <c r="R887" s="3">
        <f t="shared" si="153"/>
        <v>-0.54943460914633668</v>
      </c>
    </row>
    <row r="888" spans="1:18" x14ac:dyDescent="0.3">
      <c r="A888" s="2">
        <v>884</v>
      </c>
      <c r="B888" s="2">
        <v>1</v>
      </c>
      <c r="C888" s="2">
        <v>22</v>
      </c>
      <c r="D888" s="2">
        <f t="shared" si="152"/>
        <v>484</v>
      </c>
      <c r="E888" s="2">
        <v>70.771900000000002</v>
      </c>
      <c r="F888" s="2">
        <v>169.8175</v>
      </c>
      <c r="G888" s="2">
        <v>0.44066499999999997</v>
      </c>
      <c r="H888" s="2">
        <v>1</v>
      </c>
      <c r="I888" s="3">
        <f t="shared" si="143"/>
        <v>-0.9529886183484757</v>
      </c>
      <c r="J888" s="3">
        <f t="shared" si="144"/>
        <v>-0.9550527886739022</v>
      </c>
      <c r="K888" s="3">
        <f t="shared" si="145"/>
        <v>-0.40661122781242276</v>
      </c>
      <c r="L888" s="3">
        <f t="shared" si="146"/>
        <v>-1.0045027983006753</v>
      </c>
      <c r="M888" s="3">
        <f t="shared" si="147"/>
        <v>-0.17426886757602753</v>
      </c>
      <c r="N888" s="3">
        <f t="shared" si="148"/>
        <v>-1.4496510960581555</v>
      </c>
      <c r="O888" s="3">
        <f t="shared" si="149"/>
        <v>0.12006958399158407</v>
      </c>
      <c r="P888" s="3">
        <f t="shared" si="150"/>
        <v>0.52998138525072314</v>
      </c>
      <c r="Q888" s="3">
        <f t="shared" si="151"/>
        <v>-0.63491339522121426</v>
      </c>
      <c r="R888" s="3">
        <f t="shared" si="153"/>
        <v>0.47001861474927686</v>
      </c>
    </row>
    <row r="889" spans="1:18" x14ac:dyDescent="0.3">
      <c r="A889" s="2">
        <v>885</v>
      </c>
      <c r="B889" s="2">
        <v>0</v>
      </c>
      <c r="C889" s="2">
        <v>21</v>
      </c>
      <c r="D889" s="2">
        <f t="shared" si="152"/>
        <v>441</v>
      </c>
      <c r="E889" s="2">
        <v>77.6066</v>
      </c>
      <c r="F889" s="2">
        <v>173.0076</v>
      </c>
      <c r="G889" s="2">
        <v>0.879915</v>
      </c>
      <c r="H889" s="2">
        <v>3</v>
      </c>
      <c r="I889" s="3">
        <f t="shared" si="143"/>
        <v>-1.1059317443873902</v>
      </c>
      <c r="J889" s="3">
        <f t="shared" si="144"/>
        <v>-1.0705085555568892</v>
      </c>
      <c r="K889" s="3">
        <f t="shared" si="145"/>
        <v>0.28427739222345949</v>
      </c>
      <c r="L889" s="3">
        <f t="shared" si="146"/>
        <v>-0.6819094340309555</v>
      </c>
      <c r="M889" s="3">
        <f t="shared" si="147"/>
        <v>1.3605808542509685</v>
      </c>
      <c r="N889" s="3">
        <f t="shared" si="148"/>
        <v>-0.27394055586500432</v>
      </c>
      <c r="O889" s="3">
        <f t="shared" si="149"/>
        <v>0.11935412493105732</v>
      </c>
      <c r="P889" s="3">
        <f t="shared" si="150"/>
        <v>0.52980315978449377</v>
      </c>
      <c r="Q889" s="3">
        <f t="shared" si="151"/>
        <v>-0.75460386298486815</v>
      </c>
      <c r="R889" s="3">
        <f t="shared" si="153"/>
        <v>-0.52980315978449377</v>
      </c>
    </row>
    <row r="890" spans="1:18" x14ac:dyDescent="0.3">
      <c r="A890" s="2">
        <v>886</v>
      </c>
      <c r="B890" s="2">
        <v>1</v>
      </c>
      <c r="C890" s="2">
        <v>23</v>
      </c>
      <c r="D890" s="2">
        <f t="shared" si="152"/>
        <v>529</v>
      </c>
      <c r="E890" s="2">
        <v>60.994900000000001</v>
      </c>
      <c r="F890" s="2">
        <v>175.07640000000001</v>
      </c>
      <c r="G890" s="2">
        <v>0.505521</v>
      </c>
      <c r="H890" s="2">
        <v>1</v>
      </c>
      <c r="I890" s="3">
        <f t="shared" si="143"/>
        <v>-0.80004549230956135</v>
      </c>
      <c r="J890" s="3">
        <f t="shared" si="144"/>
        <v>-0.83422698612193913</v>
      </c>
      <c r="K890" s="3">
        <f t="shared" si="145"/>
        <v>-1.3949235221473348</v>
      </c>
      <c r="L890" s="3">
        <f t="shared" si="146"/>
        <v>-0.47270559966802028</v>
      </c>
      <c r="M890" s="3">
        <f t="shared" si="147"/>
        <v>5.2354270861790772E-2</v>
      </c>
      <c r="N890" s="3">
        <f t="shared" si="148"/>
        <v>-1.4496510960581555</v>
      </c>
      <c r="O890" s="3">
        <f t="shared" si="149"/>
        <v>3.1957108767540536E-2</v>
      </c>
      <c r="P890" s="3">
        <f t="shared" si="150"/>
        <v>0.50798859733601032</v>
      </c>
      <c r="Q890" s="3">
        <f t="shared" si="151"/>
        <v>-0.67729627784453073</v>
      </c>
      <c r="R890" s="3">
        <f t="shared" si="153"/>
        <v>0.49201140266398968</v>
      </c>
    </row>
    <row r="891" spans="1:18" x14ac:dyDescent="0.3">
      <c r="A891" s="2">
        <v>887</v>
      </c>
      <c r="B891" s="2">
        <v>0</v>
      </c>
      <c r="C891" s="2">
        <v>19</v>
      </c>
      <c r="D891" s="2">
        <f t="shared" si="152"/>
        <v>361</v>
      </c>
      <c r="E891" s="2">
        <v>82.198400000000007</v>
      </c>
      <c r="F891" s="2">
        <v>185.42699999999999</v>
      </c>
      <c r="G891" s="2">
        <v>0.50775800000000004</v>
      </c>
      <c r="H891" s="2">
        <v>6</v>
      </c>
      <c r="I891" s="3">
        <f t="shared" si="143"/>
        <v>-1.4118179964652189</v>
      </c>
      <c r="J891" s="3">
        <f t="shared" si="144"/>
        <v>-1.2853099823159346</v>
      </c>
      <c r="K891" s="3">
        <f t="shared" si="145"/>
        <v>0.7484414909374878</v>
      </c>
      <c r="L891" s="3">
        <f t="shared" si="146"/>
        <v>0.57398098577135681</v>
      </c>
      <c r="M891" s="3">
        <f t="shared" si="147"/>
        <v>6.0170910196399897E-2</v>
      </c>
      <c r="N891" s="3">
        <f t="shared" si="148"/>
        <v>1.4896252544247224</v>
      </c>
      <c r="O891" s="3">
        <f t="shared" si="149"/>
        <v>0.27222650846666241</v>
      </c>
      <c r="P891" s="3">
        <f t="shared" si="150"/>
        <v>0.56763942768106612</v>
      </c>
      <c r="Q891" s="3">
        <f t="shared" si="151"/>
        <v>-0.83849538072575514</v>
      </c>
      <c r="R891" s="3">
        <f t="shared" si="153"/>
        <v>-0.56763942768106612</v>
      </c>
    </row>
    <row r="892" spans="1:18" x14ac:dyDescent="0.3">
      <c r="A892" s="2">
        <v>888</v>
      </c>
      <c r="B892" s="2">
        <v>1</v>
      </c>
      <c r="C892" s="2">
        <v>37</v>
      </c>
      <c r="D892" s="2">
        <f t="shared" si="152"/>
        <v>1369</v>
      </c>
      <c r="E892" s="2">
        <v>89.465000000000003</v>
      </c>
      <c r="F892" s="2">
        <v>169.6114</v>
      </c>
      <c r="G892" s="2">
        <v>0.138372</v>
      </c>
      <c r="H892" s="2">
        <v>3</v>
      </c>
      <c r="I892" s="3">
        <f t="shared" si="143"/>
        <v>1.34115827223524</v>
      </c>
      <c r="J892" s="3">
        <f t="shared" si="144"/>
        <v>1.4211879948480377</v>
      </c>
      <c r="K892" s="3">
        <f t="shared" si="145"/>
        <v>1.482988910188185</v>
      </c>
      <c r="L892" s="3">
        <f t="shared" si="146"/>
        <v>-1.0253443055813207</v>
      </c>
      <c r="M892" s="3">
        <f t="shared" si="147"/>
        <v>-1.2305564645259377</v>
      </c>
      <c r="N892" s="3">
        <f t="shared" si="148"/>
        <v>-0.27394055586500432</v>
      </c>
      <c r="O892" s="3">
        <f t="shared" si="149"/>
        <v>0.10493089256339422</v>
      </c>
      <c r="P892" s="3">
        <f t="shared" si="150"/>
        <v>0.5262086800136766</v>
      </c>
      <c r="Q892" s="3">
        <f t="shared" si="151"/>
        <v>-0.64205741485696688</v>
      </c>
      <c r="R892" s="3">
        <f t="shared" si="153"/>
        <v>0.4737913199863234</v>
      </c>
    </row>
    <row r="893" spans="1:18" x14ac:dyDescent="0.3">
      <c r="A893" s="2">
        <v>889</v>
      </c>
      <c r="B893" s="2">
        <v>0</v>
      </c>
      <c r="C893" s="2">
        <v>28</v>
      </c>
      <c r="D893" s="2">
        <f t="shared" si="152"/>
        <v>784</v>
      </c>
      <c r="E893" s="2">
        <v>69.8536</v>
      </c>
      <c r="F893" s="2">
        <v>181.35720000000001</v>
      </c>
      <c r="G893" s="2">
        <v>0.98273999999999995</v>
      </c>
      <c r="H893" s="2">
        <v>3</v>
      </c>
      <c r="I893" s="3">
        <f t="shared" si="143"/>
        <v>-3.5329862114989473E-2</v>
      </c>
      <c r="J893" s="3">
        <f t="shared" si="144"/>
        <v>-0.14954743832748191</v>
      </c>
      <c r="K893" s="3">
        <f t="shared" si="145"/>
        <v>-0.49943798242915094</v>
      </c>
      <c r="L893" s="3">
        <f t="shared" si="146"/>
        <v>0.16242947519021483</v>
      </c>
      <c r="M893" s="3">
        <f t="shared" si="147"/>
        <v>1.7198772063212264</v>
      </c>
      <c r="N893" s="3">
        <f t="shared" si="148"/>
        <v>-0.27394055586500432</v>
      </c>
      <c r="O893" s="3">
        <f t="shared" si="149"/>
        <v>-8.0068776153939536E-2</v>
      </c>
      <c r="P893" s="3">
        <f t="shared" si="150"/>
        <v>0.47999349331068419</v>
      </c>
      <c r="Q893" s="3">
        <f t="shared" si="151"/>
        <v>-0.65391395462088042</v>
      </c>
      <c r="R893" s="3">
        <f t="shared" si="153"/>
        <v>-0.47999349331068419</v>
      </c>
    </row>
    <row r="894" spans="1:18" x14ac:dyDescent="0.3">
      <c r="A894" s="2">
        <v>890</v>
      </c>
      <c r="B894" s="2">
        <v>1</v>
      </c>
      <c r="C894" s="2">
        <v>21</v>
      </c>
      <c r="D894" s="2">
        <f t="shared" si="152"/>
        <v>441</v>
      </c>
      <c r="E894" s="2">
        <v>63.897799999999997</v>
      </c>
      <c r="F894" s="2">
        <v>181.6491</v>
      </c>
      <c r="G894" s="2">
        <v>0.249973</v>
      </c>
      <c r="H894" s="2">
        <v>2</v>
      </c>
      <c r="I894" s="3">
        <f t="shared" si="143"/>
        <v>-1.1059317443873902</v>
      </c>
      <c r="J894" s="3">
        <f t="shared" si="144"/>
        <v>-1.0705085555568892</v>
      </c>
      <c r="K894" s="3">
        <f t="shared" si="145"/>
        <v>-1.101482613972556</v>
      </c>
      <c r="L894" s="3">
        <f t="shared" si="146"/>
        <v>0.19194735959206136</v>
      </c>
      <c r="M894" s="3">
        <f t="shared" si="147"/>
        <v>-0.8405945662775266</v>
      </c>
      <c r="N894" s="3">
        <f t="shared" si="148"/>
        <v>-0.86179582596158</v>
      </c>
      <c r="O894" s="3">
        <f t="shared" si="149"/>
        <v>0.15050833103900416</v>
      </c>
      <c r="P894" s="3">
        <f t="shared" si="150"/>
        <v>0.53755621352801208</v>
      </c>
      <c r="Q894" s="3">
        <f t="shared" si="151"/>
        <v>-0.62072194114084256</v>
      </c>
      <c r="R894" s="3">
        <f t="shared" si="153"/>
        <v>0.46244378647198792</v>
      </c>
    </row>
    <row r="895" spans="1:18" x14ac:dyDescent="0.3">
      <c r="A895" s="2">
        <v>891</v>
      </c>
      <c r="B895" s="2">
        <v>1</v>
      </c>
      <c r="C895" s="2">
        <v>32</v>
      </c>
      <c r="D895" s="2">
        <f t="shared" si="152"/>
        <v>1024</v>
      </c>
      <c r="E895" s="2">
        <v>77.779799999999994</v>
      </c>
      <c r="F895" s="2">
        <v>173.0564</v>
      </c>
      <c r="G895" s="2">
        <v>7.3363999999999999E-2</v>
      </c>
      <c r="H895" s="2">
        <v>5</v>
      </c>
      <c r="I895" s="3">
        <f t="shared" si="143"/>
        <v>0.57644264204066809</v>
      </c>
      <c r="J895" s="3">
        <f t="shared" si="144"/>
        <v>0.49485684194965435</v>
      </c>
      <c r="K895" s="3">
        <f t="shared" si="145"/>
        <v>0.30178538950062028</v>
      </c>
      <c r="L895" s="3">
        <f t="shared" si="146"/>
        <v>-0.67697461813917703</v>
      </c>
      <c r="M895" s="3">
        <f t="shared" si="147"/>
        <v>-1.4577107291054012</v>
      </c>
      <c r="N895" s="3">
        <f t="shared" si="148"/>
        <v>0.90176998432814681</v>
      </c>
      <c r="O895" s="3">
        <f t="shared" si="149"/>
        <v>3.1365443338879286E-2</v>
      </c>
      <c r="P895" s="3">
        <f t="shared" si="150"/>
        <v>0.50784071804291553</v>
      </c>
      <c r="Q895" s="3">
        <f t="shared" si="151"/>
        <v>-0.67758742772945846</v>
      </c>
      <c r="R895" s="3">
        <f t="shared" si="153"/>
        <v>0.49215928195708447</v>
      </c>
    </row>
    <row r="896" spans="1:18" x14ac:dyDescent="0.3">
      <c r="A896" s="2">
        <v>892</v>
      </c>
      <c r="B896" s="2">
        <v>0</v>
      </c>
      <c r="C896" s="2">
        <v>23</v>
      </c>
      <c r="D896" s="2">
        <f t="shared" si="152"/>
        <v>529</v>
      </c>
      <c r="E896" s="2">
        <v>89.548100000000005</v>
      </c>
      <c r="F896" s="2">
        <v>183.2998</v>
      </c>
      <c r="G896" s="2">
        <v>0.66314600000000001</v>
      </c>
      <c r="H896" s="2">
        <v>6</v>
      </c>
      <c r="I896" s="3">
        <f t="shared" si="143"/>
        <v>-0.80004549230956135</v>
      </c>
      <c r="J896" s="3">
        <f t="shared" si="144"/>
        <v>-0.83422698612193913</v>
      </c>
      <c r="K896" s="3">
        <f t="shared" si="145"/>
        <v>1.4913891098055763</v>
      </c>
      <c r="L896" s="3">
        <f t="shared" si="146"/>
        <v>0.35887155206252519</v>
      </c>
      <c r="M896" s="3">
        <f t="shared" si="147"/>
        <v>0.60313557399891149</v>
      </c>
      <c r="N896" s="3">
        <f t="shared" si="148"/>
        <v>1.4896252544247224</v>
      </c>
      <c r="O896" s="3">
        <f t="shared" si="149"/>
        <v>0.17605979688482165</v>
      </c>
      <c r="P896" s="3">
        <f t="shared" si="150"/>
        <v>0.54390160606584181</v>
      </c>
      <c r="Q896" s="3">
        <f t="shared" si="151"/>
        <v>-0.78504671657268121</v>
      </c>
      <c r="R896" s="3">
        <f t="shared" si="153"/>
        <v>-0.54390160606584181</v>
      </c>
    </row>
    <row r="897" spans="1:18" x14ac:dyDescent="0.3">
      <c r="A897" s="2">
        <v>893</v>
      </c>
      <c r="B897" s="2">
        <v>1</v>
      </c>
      <c r="C897" s="2">
        <v>39</v>
      </c>
      <c r="D897" s="2">
        <f t="shared" si="152"/>
        <v>1521</v>
      </c>
      <c r="E897" s="2">
        <v>60.501399999999997</v>
      </c>
      <c r="F897" s="2">
        <v>169.92189999999999</v>
      </c>
      <c r="G897" s="2">
        <v>0.59536599999999995</v>
      </c>
      <c r="H897" s="2">
        <v>4</v>
      </c>
      <c r="I897" s="3">
        <f t="shared" si="143"/>
        <v>1.6470445243130687</v>
      </c>
      <c r="J897" s="3">
        <f t="shared" si="144"/>
        <v>1.829310705690224</v>
      </c>
      <c r="K897" s="3">
        <f t="shared" si="145"/>
        <v>-1.4448091841350901</v>
      </c>
      <c r="L897" s="3">
        <f t="shared" si="146"/>
        <v>-0.99394552823711679</v>
      </c>
      <c r="M897" s="3">
        <f t="shared" si="147"/>
        <v>0.36629524583628453</v>
      </c>
      <c r="N897" s="3">
        <f t="shared" si="148"/>
        <v>0.31391471423157125</v>
      </c>
      <c r="O897" s="3">
        <f t="shared" si="149"/>
        <v>-0.14848545092253934</v>
      </c>
      <c r="P897" s="3">
        <f t="shared" si="150"/>
        <v>0.46294669132610922</v>
      </c>
      <c r="Q897" s="3">
        <f t="shared" si="151"/>
        <v>-0.77014336904933867</v>
      </c>
      <c r="R897" s="3">
        <f t="shared" si="153"/>
        <v>0.53705330867389078</v>
      </c>
    </row>
    <row r="898" spans="1:18" x14ac:dyDescent="0.3">
      <c r="A898" s="2">
        <v>894</v>
      </c>
      <c r="B898" s="2">
        <v>0</v>
      </c>
      <c r="C898" s="2">
        <v>34</v>
      </c>
      <c r="D898" s="2">
        <f t="shared" si="152"/>
        <v>1156</v>
      </c>
      <c r="E898" s="2">
        <v>63.936900000000001</v>
      </c>
      <c r="F898" s="2">
        <v>168.82929999999999</v>
      </c>
      <c r="G898" s="2">
        <v>0.41514600000000002</v>
      </c>
      <c r="H898" s="2">
        <v>6</v>
      </c>
      <c r="I898" s="3">
        <f t="shared" si="143"/>
        <v>0.8823288941184968</v>
      </c>
      <c r="J898" s="3">
        <f t="shared" si="144"/>
        <v>0.84927919610207925</v>
      </c>
      <c r="K898" s="3">
        <f t="shared" si="145"/>
        <v>-1.0975301734786929</v>
      </c>
      <c r="L898" s="3">
        <f t="shared" si="146"/>
        <v>-1.1044328201091889</v>
      </c>
      <c r="M898" s="3">
        <f t="shared" si="147"/>
        <v>-0.26343865710659792</v>
      </c>
      <c r="N898" s="3">
        <f t="shared" si="148"/>
        <v>1.4896252544247224</v>
      </c>
      <c r="O898" s="3">
        <f t="shared" si="149"/>
        <v>-0.13662669506515218</v>
      </c>
      <c r="P898" s="3">
        <f t="shared" si="150"/>
        <v>0.46589636037416021</v>
      </c>
      <c r="Q898" s="3">
        <f t="shared" si="151"/>
        <v>-0.6271653771570288</v>
      </c>
      <c r="R898" s="3">
        <f t="shared" si="153"/>
        <v>-0.46589636037416021</v>
      </c>
    </row>
    <row r="899" spans="1:18" x14ac:dyDescent="0.3">
      <c r="A899" s="2">
        <v>895</v>
      </c>
      <c r="B899" s="2">
        <v>0</v>
      </c>
      <c r="C899" s="2">
        <v>23</v>
      </c>
      <c r="D899" s="2">
        <f t="shared" si="152"/>
        <v>529</v>
      </c>
      <c r="E899" s="2">
        <v>70.458100000000002</v>
      </c>
      <c r="F899" s="2">
        <v>180.99610000000001</v>
      </c>
      <c r="G899" s="2">
        <v>0.42219200000000001</v>
      </c>
      <c r="H899" s="2">
        <v>4</v>
      </c>
      <c r="I899" s="3">
        <f t="shared" si="143"/>
        <v>-0.80004549230956135</v>
      </c>
      <c r="J899" s="3">
        <f t="shared" si="144"/>
        <v>-0.83422698612193913</v>
      </c>
      <c r="K899" s="3">
        <f t="shared" si="145"/>
        <v>-0.4383318371979496</v>
      </c>
      <c r="L899" s="3">
        <f t="shared" si="146"/>
        <v>0.12591386005658464</v>
      </c>
      <c r="M899" s="3">
        <f t="shared" si="147"/>
        <v>-0.2388181650405922</v>
      </c>
      <c r="N899" s="3">
        <f t="shared" si="148"/>
        <v>0.31391471423157125</v>
      </c>
      <c r="O899" s="3">
        <f t="shared" si="149"/>
        <v>9.632807112094921E-2</v>
      </c>
      <c r="P899" s="3">
        <f t="shared" si="150"/>
        <v>0.52406341342772111</v>
      </c>
      <c r="Q899" s="3">
        <f t="shared" si="151"/>
        <v>-0.7424706551122966</v>
      </c>
      <c r="R899" s="3">
        <f t="shared" si="153"/>
        <v>-0.52406341342772111</v>
      </c>
    </row>
    <row r="900" spans="1:18" x14ac:dyDescent="0.3">
      <c r="A900" s="2">
        <v>896</v>
      </c>
      <c r="B900" s="2">
        <v>1</v>
      </c>
      <c r="C900" s="2">
        <v>36</v>
      </c>
      <c r="D900" s="2">
        <f t="shared" si="152"/>
        <v>1296</v>
      </c>
      <c r="E900" s="2">
        <v>66.796599999999998</v>
      </c>
      <c r="F900" s="2">
        <v>163.4024</v>
      </c>
      <c r="G900" s="2">
        <v>0.78506399999999998</v>
      </c>
      <c r="H900" s="2">
        <v>4</v>
      </c>
      <c r="I900" s="3">
        <f t="shared" si="143"/>
        <v>1.1882151461963255</v>
      </c>
      <c r="J900" s="3">
        <f t="shared" si="144"/>
        <v>1.2251816929304087</v>
      </c>
      <c r="K900" s="3">
        <f t="shared" si="145"/>
        <v>-0.80845615607974186</v>
      </c>
      <c r="L900" s="3">
        <f t="shared" si="146"/>
        <v>-1.6532187291889477</v>
      </c>
      <c r="M900" s="3">
        <f t="shared" si="147"/>
        <v>1.0291476591114981</v>
      </c>
      <c r="N900" s="3">
        <f t="shared" si="148"/>
        <v>0.31391471423157125</v>
      </c>
      <c r="O900" s="3">
        <f t="shared" si="149"/>
        <v>-0.1678260894574459</v>
      </c>
      <c r="P900" s="3">
        <f t="shared" si="150"/>
        <v>0.45814167859531568</v>
      </c>
      <c r="Q900" s="3">
        <f t="shared" si="151"/>
        <v>-0.78057680079312652</v>
      </c>
      <c r="R900" s="3">
        <f t="shared" si="153"/>
        <v>0.54185832140468437</v>
      </c>
    </row>
    <row r="901" spans="1:18" x14ac:dyDescent="0.3">
      <c r="A901" s="2">
        <v>897</v>
      </c>
      <c r="B901" s="2">
        <v>0</v>
      </c>
      <c r="C901" s="2">
        <v>19</v>
      </c>
      <c r="D901" s="2">
        <f t="shared" si="152"/>
        <v>361</v>
      </c>
      <c r="E901" s="2">
        <v>66.828100000000006</v>
      </c>
      <c r="F901" s="2">
        <v>158.55199999999999</v>
      </c>
      <c r="G901" s="2">
        <v>0.195713</v>
      </c>
      <c r="H901" s="2">
        <v>1</v>
      </c>
      <c r="I901" s="3">
        <f t="shared" ref="I901:I964" si="154">(C901-$V$3)/$W$3</f>
        <v>-1.4118179964652189</v>
      </c>
      <c r="J901" s="3">
        <f t="shared" ref="J901:J964" si="155" xml:space="preserve"> (D901- $V$8)/$W$8</f>
        <v>-1.2853099823159346</v>
      </c>
      <c r="K901" s="3">
        <f t="shared" ref="K901:K964" si="156">(E901-$V$4)/$W$4</f>
        <v>-0.8052719648890333</v>
      </c>
      <c r="L901" s="3">
        <f t="shared" ref="L901:L964" si="157">(F901-$V$5)/$W$5</f>
        <v>-2.1437070693832525</v>
      </c>
      <c r="M901" s="3">
        <f t="shared" ref="M901:M964" si="158">(G901-$V$6)/$W$6</f>
        <v>-1.0301926218411757</v>
      </c>
      <c r="N901" s="3">
        <f t="shared" ref="N901:N964" si="159">(H901-$V$7)/$W$7</f>
        <v>-1.4496510960581555</v>
      </c>
      <c r="O901" s="3">
        <f t="shared" ref="O901:O964" si="160">$V$11+$V$12*I901+$V$17*J901+$V$13*K901+$V$14*L901+$V$15*M901+$V$16*N901</f>
        <v>0.19470282140686684</v>
      </c>
      <c r="P901" s="3">
        <f t="shared" ref="P901:P964" si="161">1/(1+EXP(-O901))</f>
        <v>0.54852251468411772</v>
      </c>
      <c r="Q901" s="3">
        <f t="shared" ref="Q901:Q964" si="162">B901*LN(P901)+(1-B901)*LN(1-P901)</f>
        <v>-0.7952297737784737</v>
      </c>
      <c r="R901" s="3">
        <f t="shared" si="153"/>
        <v>-0.54852251468411772</v>
      </c>
    </row>
    <row r="902" spans="1:18" x14ac:dyDescent="0.3">
      <c r="A902" s="2">
        <v>898</v>
      </c>
      <c r="B902" s="2">
        <v>1</v>
      </c>
      <c r="C902" s="2">
        <v>32</v>
      </c>
      <c r="D902" s="2">
        <f t="shared" ref="D902:D965" si="163">C902^2</f>
        <v>1024</v>
      </c>
      <c r="E902" s="2">
        <v>54.058799999999998</v>
      </c>
      <c r="F902" s="2">
        <v>185.32830000000001</v>
      </c>
      <c r="G902" s="2">
        <v>0.82025300000000001</v>
      </c>
      <c r="H902" s="2">
        <v>4</v>
      </c>
      <c r="I902" s="3">
        <f t="shared" si="154"/>
        <v>0.57644264204066809</v>
      </c>
      <c r="J902" s="3">
        <f t="shared" si="155"/>
        <v>0.49485684194965435</v>
      </c>
      <c r="K902" s="3">
        <f t="shared" si="156"/>
        <v>-2.0960622052542579</v>
      </c>
      <c r="L902" s="3">
        <f t="shared" si="157"/>
        <v>0.56400011838368413</v>
      </c>
      <c r="M902" s="3">
        <f t="shared" si="158"/>
        <v>1.1521068551533198</v>
      </c>
      <c r="N902" s="3">
        <f t="shared" si="159"/>
        <v>0.31391471423157125</v>
      </c>
      <c r="O902" s="3">
        <f t="shared" si="160"/>
        <v>-0.19979192282573527</v>
      </c>
      <c r="P902" s="3">
        <f t="shared" si="161"/>
        <v>0.45021750577042169</v>
      </c>
      <c r="Q902" s="3">
        <f t="shared" si="162"/>
        <v>-0.79802446683540573</v>
      </c>
      <c r="R902" s="3">
        <f t="shared" ref="R902:R965" si="164">B902-P902</f>
        <v>0.54978249422957837</v>
      </c>
    </row>
    <row r="903" spans="1:18" x14ac:dyDescent="0.3">
      <c r="A903" s="2">
        <v>899</v>
      </c>
      <c r="B903" s="2">
        <v>1</v>
      </c>
      <c r="C903" s="2">
        <v>28</v>
      </c>
      <c r="D903" s="2">
        <f t="shared" si="163"/>
        <v>784</v>
      </c>
      <c r="E903" s="2">
        <v>80.890600000000006</v>
      </c>
      <c r="F903" s="2">
        <v>190.4897</v>
      </c>
      <c r="G903" s="2">
        <v>0.64874699999999996</v>
      </c>
      <c r="H903" s="2">
        <v>4</v>
      </c>
      <c r="I903" s="3">
        <f t="shared" si="154"/>
        <v>-3.5329862114989473E-2</v>
      </c>
      <c r="J903" s="3">
        <f t="shared" si="155"/>
        <v>-0.14954743832748191</v>
      </c>
      <c r="K903" s="3">
        <f t="shared" si="156"/>
        <v>0.61624195953407179</v>
      </c>
      <c r="L903" s="3">
        <f t="shared" si="157"/>
        <v>1.085937797560427</v>
      </c>
      <c r="M903" s="3">
        <f t="shared" si="158"/>
        <v>0.55282185483081359</v>
      </c>
      <c r="N903" s="3">
        <f t="shared" si="159"/>
        <v>0.31391471423157125</v>
      </c>
      <c r="O903" s="3">
        <f t="shared" si="160"/>
        <v>5.5882490093783821E-2</v>
      </c>
      <c r="P903" s="3">
        <f t="shared" si="161"/>
        <v>0.51396698797543627</v>
      </c>
      <c r="Q903" s="3">
        <f t="shared" si="162"/>
        <v>-0.66559624131825557</v>
      </c>
      <c r="R903" s="3">
        <f t="shared" si="164"/>
        <v>0.48603301202456373</v>
      </c>
    </row>
    <row r="904" spans="1:18" x14ac:dyDescent="0.3">
      <c r="A904" s="2">
        <v>900</v>
      </c>
      <c r="B904" s="2">
        <v>0</v>
      </c>
      <c r="C904" s="2">
        <v>25</v>
      </c>
      <c r="D904" s="2">
        <f t="shared" si="163"/>
        <v>625</v>
      </c>
      <c r="E904" s="2">
        <v>78.387200000000007</v>
      </c>
      <c r="F904" s="2">
        <v>175.33199999999999</v>
      </c>
      <c r="G904" s="2">
        <v>0.41897000000000001</v>
      </c>
      <c r="H904" s="2">
        <v>2</v>
      </c>
      <c r="I904" s="3">
        <f t="shared" si="154"/>
        <v>-0.49415924023173263</v>
      </c>
      <c r="J904" s="3">
        <f t="shared" si="155"/>
        <v>-0.57646527401108472</v>
      </c>
      <c r="K904" s="3">
        <f t="shared" si="156"/>
        <v>0.36318468249223712</v>
      </c>
      <c r="L904" s="3">
        <f t="shared" si="157"/>
        <v>-0.44685849020206742</v>
      </c>
      <c r="M904" s="3">
        <f t="shared" si="158"/>
        <v>-0.25007664154310011</v>
      </c>
      <c r="N904" s="3">
        <f t="shared" si="159"/>
        <v>-0.86179582596158</v>
      </c>
      <c r="O904" s="3">
        <f t="shared" si="160"/>
        <v>0.10681955418381438</v>
      </c>
      <c r="P904" s="3">
        <f t="shared" si="161"/>
        <v>0.52667952466027756</v>
      </c>
      <c r="Q904" s="3">
        <f t="shared" si="162"/>
        <v>-0.74798258219914382</v>
      </c>
      <c r="R904" s="3">
        <f t="shared" si="164"/>
        <v>-0.52667952466027756</v>
      </c>
    </row>
    <row r="905" spans="1:18" x14ac:dyDescent="0.3">
      <c r="A905" s="2">
        <v>901</v>
      </c>
      <c r="B905" s="2">
        <v>1</v>
      </c>
      <c r="C905" s="2">
        <v>36</v>
      </c>
      <c r="D905" s="2">
        <f t="shared" si="163"/>
        <v>1296</v>
      </c>
      <c r="E905" s="2">
        <v>58.011499999999998</v>
      </c>
      <c r="F905" s="2">
        <v>173.3193</v>
      </c>
      <c r="G905" s="2">
        <v>0.45802900000000002</v>
      </c>
      <c r="H905" s="2">
        <v>3</v>
      </c>
      <c r="I905" s="3">
        <f t="shared" si="154"/>
        <v>1.1882151461963255</v>
      </c>
      <c r="J905" s="3">
        <f t="shared" si="155"/>
        <v>1.2251816929304087</v>
      </c>
      <c r="K905" s="3">
        <f t="shared" si="156"/>
        <v>-1.6965018078094785</v>
      </c>
      <c r="L905" s="3">
        <f t="shared" si="157"/>
        <v>-0.65038930875498535</v>
      </c>
      <c r="M905" s="3">
        <f t="shared" si="158"/>
        <v>-0.11359469439491419</v>
      </c>
      <c r="N905" s="3">
        <f t="shared" si="159"/>
        <v>-0.27394055586500432</v>
      </c>
      <c r="O905" s="3">
        <f t="shared" si="160"/>
        <v>-0.14603680723337387</v>
      </c>
      <c r="P905" s="3">
        <f t="shared" si="161"/>
        <v>0.46355554532603943</v>
      </c>
      <c r="Q905" s="3">
        <f t="shared" si="162"/>
        <v>-0.76882906226520198</v>
      </c>
      <c r="R905" s="3">
        <f t="shared" si="164"/>
        <v>0.53644445467396062</v>
      </c>
    </row>
    <row r="906" spans="1:18" x14ac:dyDescent="0.3">
      <c r="A906" s="2">
        <v>902</v>
      </c>
      <c r="B906" s="2">
        <v>0</v>
      </c>
      <c r="C906" s="2">
        <v>30</v>
      </c>
      <c r="D906" s="2">
        <f t="shared" si="163"/>
        <v>900</v>
      </c>
      <c r="E906" s="2">
        <v>89.572000000000003</v>
      </c>
      <c r="F906" s="2">
        <v>190.05539999999999</v>
      </c>
      <c r="G906" s="2">
        <v>0.25664700000000001</v>
      </c>
      <c r="H906" s="2">
        <v>6</v>
      </c>
      <c r="I906" s="3">
        <f t="shared" si="154"/>
        <v>0.27055638996283926</v>
      </c>
      <c r="J906" s="3">
        <f t="shared" si="155"/>
        <v>0.16191463047313392</v>
      </c>
      <c r="K906" s="3">
        <f t="shared" si="156"/>
        <v>1.4938050516931289</v>
      </c>
      <c r="L906" s="3">
        <f t="shared" si="157"/>
        <v>1.0420199585891277</v>
      </c>
      <c r="M906" s="3">
        <f t="shared" si="158"/>
        <v>-0.81727393555817907</v>
      </c>
      <c r="N906" s="3">
        <f t="shared" si="159"/>
        <v>1.4896252544247224</v>
      </c>
      <c r="O906" s="3">
        <f t="shared" si="160"/>
        <v>0.12983481932068322</v>
      </c>
      <c r="P906" s="3">
        <f t="shared" si="161"/>
        <v>0.53241318497897516</v>
      </c>
      <c r="Q906" s="3">
        <f t="shared" si="162"/>
        <v>-0.76017024691388146</v>
      </c>
      <c r="R906" s="3">
        <f t="shared" si="164"/>
        <v>-0.53241318497897516</v>
      </c>
    </row>
    <row r="907" spans="1:18" x14ac:dyDescent="0.3">
      <c r="A907" s="2">
        <v>903</v>
      </c>
      <c r="B907" s="2">
        <v>0</v>
      </c>
      <c r="C907" s="2">
        <v>29</v>
      </c>
      <c r="D907" s="2">
        <f t="shared" si="163"/>
        <v>841</v>
      </c>
      <c r="E907" s="2">
        <v>91.810900000000004</v>
      </c>
      <c r="F907" s="2">
        <v>168.5446</v>
      </c>
      <c r="G907" s="2">
        <v>0.75211399999999995</v>
      </c>
      <c r="H907" s="2">
        <v>6</v>
      </c>
      <c r="I907" s="3">
        <f t="shared" si="154"/>
        <v>0.1176132639239249</v>
      </c>
      <c r="J907" s="3">
        <f t="shared" si="155"/>
        <v>3.4985782383379449E-3</v>
      </c>
      <c r="K907" s="3">
        <f t="shared" si="156"/>
        <v>1.7201252312764812</v>
      </c>
      <c r="L907" s="3">
        <f t="shared" si="157"/>
        <v>-1.133222616920444</v>
      </c>
      <c r="M907" s="3">
        <f t="shared" si="158"/>
        <v>0.91401209090614899</v>
      </c>
      <c r="N907" s="3">
        <f t="shared" si="159"/>
        <v>1.4896252544247224</v>
      </c>
      <c r="O907" s="3">
        <f t="shared" si="160"/>
        <v>3.1808372801933105E-2</v>
      </c>
      <c r="P907" s="3">
        <f t="shared" si="161"/>
        <v>0.50795142279249184</v>
      </c>
      <c r="Q907" s="3">
        <f t="shared" si="162"/>
        <v>-0.70917783320212346</v>
      </c>
      <c r="R907" s="3">
        <f t="shared" si="164"/>
        <v>-0.50795142279249184</v>
      </c>
    </row>
    <row r="908" spans="1:18" x14ac:dyDescent="0.3">
      <c r="A908" s="2">
        <v>904</v>
      </c>
      <c r="B908" s="2">
        <v>1</v>
      </c>
      <c r="C908" s="2">
        <v>22</v>
      </c>
      <c r="D908" s="2">
        <f t="shared" si="163"/>
        <v>484</v>
      </c>
      <c r="E908" s="2">
        <v>67.490899999999996</v>
      </c>
      <c r="F908" s="2">
        <v>166.3663</v>
      </c>
      <c r="G908" s="2">
        <v>0.51287499999999997</v>
      </c>
      <c r="H908" s="2">
        <v>4</v>
      </c>
      <c r="I908" s="3">
        <f t="shared" si="154"/>
        <v>-0.9529886183484757</v>
      </c>
      <c r="J908" s="3">
        <f t="shared" si="155"/>
        <v>-0.9550527886739022</v>
      </c>
      <c r="K908" s="3">
        <f t="shared" si="156"/>
        <v>-0.73827253881915811</v>
      </c>
      <c r="L908" s="3">
        <f t="shared" si="157"/>
        <v>-1.3534994500569391</v>
      </c>
      <c r="M908" s="3">
        <f t="shared" si="158"/>
        <v>7.8050992214814527E-2</v>
      </c>
      <c r="N908" s="3">
        <f t="shared" si="159"/>
        <v>0.31391471423157125</v>
      </c>
      <c r="O908" s="3">
        <f t="shared" si="160"/>
        <v>5.492113694551258E-2</v>
      </c>
      <c r="P908" s="3">
        <f t="shared" si="161"/>
        <v>0.51372683401991803</v>
      </c>
      <c r="Q908" s="3">
        <f t="shared" si="162"/>
        <v>-0.6660636061203975</v>
      </c>
      <c r="R908" s="3">
        <f t="shared" si="164"/>
        <v>0.48627316598008197</v>
      </c>
    </row>
    <row r="909" spans="1:18" x14ac:dyDescent="0.3">
      <c r="A909" s="2">
        <v>905</v>
      </c>
      <c r="B909" s="2">
        <v>1</v>
      </c>
      <c r="C909" s="2">
        <v>23</v>
      </c>
      <c r="D909" s="2">
        <f t="shared" si="163"/>
        <v>529</v>
      </c>
      <c r="E909" s="2">
        <v>86.665499999999994</v>
      </c>
      <c r="F909" s="2">
        <v>187.07640000000001</v>
      </c>
      <c r="G909" s="2">
        <v>0.320855</v>
      </c>
      <c r="H909" s="2">
        <v>5</v>
      </c>
      <c r="I909" s="3">
        <f t="shared" si="154"/>
        <v>-0.80004549230956135</v>
      </c>
      <c r="J909" s="3">
        <f t="shared" si="155"/>
        <v>-0.83422698612193913</v>
      </c>
      <c r="K909" s="3">
        <f t="shared" si="156"/>
        <v>1.2000002359536965</v>
      </c>
      <c r="L909" s="3">
        <f t="shared" si="157"/>
        <v>0.74077371798240987</v>
      </c>
      <c r="M909" s="3">
        <f t="shared" si="158"/>
        <v>-0.5929150717242172</v>
      </c>
      <c r="N909" s="3">
        <f t="shared" si="159"/>
        <v>0.90176998432814681</v>
      </c>
      <c r="O909" s="3">
        <f t="shared" si="160"/>
        <v>0.22483869786764807</v>
      </c>
      <c r="P909" s="3">
        <f t="shared" si="161"/>
        <v>0.55597407074630256</v>
      </c>
      <c r="Q909" s="3">
        <f t="shared" si="162"/>
        <v>-0.58703362116739299</v>
      </c>
      <c r="R909" s="3">
        <f t="shared" si="164"/>
        <v>0.44402592925369744</v>
      </c>
    </row>
    <row r="910" spans="1:18" x14ac:dyDescent="0.3">
      <c r="A910" s="2">
        <v>906</v>
      </c>
      <c r="B910" s="2">
        <v>0</v>
      </c>
      <c r="C910" s="2">
        <v>39</v>
      </c>
      <c r="D910" s="2">
        <f t="shared" si="163"/>
        <v>1521</v>
      </c>
      <c r="E910" s="2">
        <v>69.27</v>
      </c>
      <c r="F910" s="2">
        <v>180.09039999999999</v>
      </c>
      <c r="G910" s="2">
        <v>0.59604999999999997</v>
      </c>
      <c r="H910" s="2">
        <v>6</v>
      </c>
      <c r="I910" s="3">
        <f t="shared" si="154"/>
        <v>1.6470445243130687</v>
      </c>
      <c r="J910" s="3">
        <f t="shared" si="155"/>
        <v>1.829310705690224</v>
      </c>
      <c r="K910" s="3">
        <f t="shared" si="156"/>
        <v>-0.55843144207667661</v>
      </c>
      <c r="L910" s="3">
        <f t="shared" si="157"/>
        <v>3.4326508556915956E-2</v>
      </c>
      <c r="M910" s="3">
        <f t="shared" si="158"/>
        <v>0.36868531347368849</v>
      </c>
      <c r="N910" s="3">
        <f t="shared" si="159"/>
        <v>1.4896252544247224</v>
      </c>
      <c r="O910" s="3">
        <f t="shared" si="160"/>
        <v>-8.3038091741550274E-2</v>
      </c>
      <c r="P910" s="3">
        <f t="shared" si="161"/>
        <v>0.47925239748273479</v>
      </c>
      <c r="Q910" s="3">
        <f t="shared" si="162"/>
        <v>-0.65248980275512891</v>
      </c>
      <c r="R910" s="3">
        <f t="shared" si="164"/>
        <v>-0.47925239748273479</v>
      </c>
    </row>
    <row r="911" spans="1:18" x14ac:dyDescent="0.3">
      <c r="A911" s="2">
        <v>907</v>
      </c>
      <c r="B911" s="2">
        <v>0</v>
      </c>
      <c r="C911" s="2">
        <v>21</v>
      </c>
      <c r="D911" s="2">
        <f t="shared" si="163"/>
        <v>441</v>
      </c>
      <c r="E911" s="2">
        <v>76.811199999999999</v>
      </c>
      <c r="F911" s="2">
        <v>190.64879999999999</v>
      </c>
      <c r="G911" s="2">
        <v>0.99573400000000001</v>
      </c>
      <c r="H911" s="2">
        <v>4</v>
      </c>
      <c r="I911" s="3">
        <f t="shared" si="154"/>
        <v>-1.1059317443873902</v>
      </c>
      <c r="J911" s="3">
        <f t="shared" si="155"/>
        <v>-1.0705085555568892</v>
      </c>
      <c r="K911" s="3">
        <f t="shared" si="156"/>
        <v>0.20387403752222294</v>
      </c>
      <c r="L911" s="3">
        <f t="shared" si="157"/>
        <v>1.1020265108469418</v>
      </c>
      <c r="M911" s="3">
        <f t="shared" si="158"/>
        <v>1.7652815029300368</v>
      </c>
      <c r="N911" s="3">
        <f t="shared" si="159"/>
        <v>0.31391471423157125</v>
      </c>
      <c r="O911" s="3">
        <f t="shared" si="160"/>
        <v>0.13003455207942333</v>
      </c>
      <c r="P911" s="3">
        <f t="shared" si="161"/>
        <v>0.53246290800444473</v>
      </c>
      <c r="Q911" s="3">
        <f t="shared" si="162"/>
        <v>-0.76027659223377619</v>
      </c>
      <c r="R911" s="3">
        <f t="shared" si="164"/>
        <v>-0.53246290800444473</v>
      </c>
    </row>
    <row r="912" spans="1:18" x14ac:dyDescent="0.3">
      <c r="A912" s="2">
        <v>908</v>
      </c>
      <c r="B912" s="2">
        <v>1</v>
      </c>
      <c r="C912" s="2">
        <v>36</v>
      </c>
      <c r="D912" s="2">
        <f t="shared" si="163"/>
        <v>1296</v>
      </c>
      <c r="E912" s="2">
        <v>66.642399999999995</v>
      </c>
      <c r="F912" s="2">
        <v>158.59729999999999</v>
      </c>
      <c r="G912" s="2">
        <v>0.43526199999999998</v>
      </c>
      <c r="H912" s="2">
        <v>1</v>
      </c>
      <c r="I912" s="3">
        <f t="shared" si="154"/>
        <v>1.1882151461963255</v>
      </c>
      <c r="J912" s="3">
        <f t="shared" si="155"/>
        <v>1.2251816929304087</v>
      </c>
      <c r="K912" s="3">
        <f t="shared" si="156"/>
        <v>-0.82404353009901632</v>
      </c>
      <c r="L912" s="3">
        <f t="shared" si="157"/>
        <v>-2.1391261849591223</v>
      </c>
      <c r="M912" s="3">
        <f t="shared" si="158"/>
        <v>-0.19314830536095923</v>
      </c>
      <c r="N912" s="3">
        <f t="shared" si="159"/>
        <v>-1.4496510960581555</v>
      </c>
      <c r="O912" s="3">
        <f t="shared" si="160"/>
        <v>-0.10357024738575783</v>
      </c>
      <c r="P912" s="3">
        <f t="shared" si="161"/>
        <v>0.47413055870564569</v>
      </c>
      <c r="Q912" s="3">
        <f t="shared" si="162"/>
        <v>-0.74627255490650846</v>
      </c>
      <c r="R912" s="3">
        <f t="shared" si="164"/>
        <v>0.52586944129435431</v>
      </c>
    </row>
    <row r="913" spans="1:18" x14ac:dyDescent="0.3">
      <c r="A913" s="2">
        <v>909</v>
      </c>
      <c r="B913" s="2">
        <v>1</v>
      </c>
      <c r="C913" s="2">
        <v>37</v>
      </c>
      <c r="D913" s="2">
        <f t="shared" si="163"/>
        <v>1369</v>
      </c>
      <c r="E913" s="2">
        <v>97.142499999999998</v>
      </c>
      <c r="F913" s="2">
        <v>165.9933</v>
      </c>
      <c r="G913" s="2">
        <v>0.92069100000000004</v>
      </c>
      <c r="H913" s="2">
        <v>1</v>
      </c>
      <c r="I913" s="3">
        <f t="shared" si="154"/>
        <v>1.34115827223524</v>
      </c>
      <c r="J913" s="3">
        <f t="shared" si="155"/>
        <v>1.4211879948480377</v>
      </c>
      <c r="K913" s="3">
        <f t="shared" si="156"/>
        <v>2.2590723345265591</v>
      </c>
      <c r="L913" s="3">
        <f t="shared" si="157"/>
        <v>-1.3912184321805723</v>
      </c>
      <c r="M913" s="3">
        <f t="shared" si="158"/>
        <v>1.5030624302491873</v>
      </c>
      <c r="N913" s="3">
        <f t="shared" si="159"/>
        <v>-1.4496510960581555</v>
      </c>
      <c r="O913" s="3">
        <f t="shared" si="160"/>
        <v>4.7544321175266233E-2</v>
      </c>
      <c r="P913" s="3">
        <f t="shared" si="161"/>
        <v>0.51188384179661151</v>
      </c>
      <c r="Q913" s="3">
        <f t="shared" si="162"/>
        <v>-0.66965755117285219</v>
      </c>
      <c r="R913" s="3">
        <f t="shared" si="164"/>
        <v>0.48811615820338849</v>
      </c>
    </row>
    <row r="914" spans="1:18" x14ac:dyDescent="0.3">
      <c r="A914" s="2">
        <v>910</v>
      </c>
      <c r="B914" s="2">
        <v>1</v>
      </c>
      <c r="C914" s="2">
        <v>18</v>
      </c>
      <c r="D914" s="2">
        <f t="shared" si="163"/>
        <v>324</v>
      </c>
      <c r="E914" s="2">
        <v>72.0398</v>
      </c>
      <c r="F914" s="2">
        <v>180.14330000000001</v>
      </c>
      <c r="G914" s="2">
        <v>0.34501700000000002</v>
      </c>
      <c r="H914" s="2">
        <v>1</v>
      </c>
      <c r="I914" s="3">
        <f t="shared" si="154"/>
        <v>-1.5647611225041334</v>
      </c>
      <c r="J914" s="3">
        <f t="shared" si="155"/>
        <v>-1.3846556421919931</v>
      </c>
      <c r="K914" s="3">
        <f t="shared" si="156"/>
        <v>-0.2784450052505702</v>
      </c>
      <c r="L914" s="3">
        <f t="shared" si="157"/>
        <v>3.96759298822272E-2</v>
      </c>
      <c r="M914" s="3">
        <f t="shared" si="158"/>
        <v>-0.50848698070820386</v>
      </c>
      <c r="N914" s="3">
        <f t="shared" si="159"/>
        <v>-1.4496510960581555</v>
      </c>
      <c r="O914" s="3">
        <f t="shared" si="160"/>
        <v>0.29219252841986543</v>
      </c>
      <c r="P914" s="3">
        <f t="shared" si="161"/>
        <v>0.57253281525783639</v>
      </c>
      <c r="Q914" s="3">
        <f t="shared" si="162"/>
        <v>-0.55768522596876469</v>
      </c>
      <c r="R914" s="3">
        <f t="shared" si="164"/>
        <v>0.42746718474216361</v>
      </c>
    </row>
    <row r="915" spans="1:18" x14ac:dyDescent="0.3">
      <c r="A915" s="2">
        <v>911</v>
      </c>
      <c r="B915" s="2">
        <v>1</v>
      </c>
      <c r="C915" s="2">
        <v>37</v>
      </c>
      <c r="D915" s="2">
        <f t="shared" si="163"/>
        <v>1369</v>
      </c>
      <c r="E915" s="2">
        <v>76.264499999999998</v>
      </c>
      <c r="F915" s="2">
        <v>184.17670000000001</v>
      </c>
      <c r="G915" s="2">
        <v>5.4732999999999997E-2</v>
      </c>
      <c r="H915" s="2">
        <v>4</v>
      </c>
      <c r="I915" s="3">
        <f t="shared" si="154"/>
        <v>1.34115827223524</v>
      </c>
      <c r="J915" s="3">
        <f t="shared" si="155"/>
        <v>1.4211879948480377</v>
      </c>
      <c r="K915" s="3">
        <f t="shared" si="156"/>
        <v>0.14861063041238376</v>
      </c>
      <c r="L915" s="3">
        <f t="shared" si="157"/>
        <v>0.447546553199831</v>
      </c>
      <c r="M915" s="3">
        <f t="shared" si="158"/>
        <v>-1.5228121182172027</v>
      </c>
      <c r="N915" s="3">
        <f t="shared" si="159"/>
        <v>0.31391471423157125</v>
      </c>
      <c r="O915" s="3">
        <f t="shared" si="160"/>
        <v>5.5813552071673538E-2</v>
      </c>
      <c r="P915" s="3">
        <f t="shared" si="161"/>
        <v>0.51394976690153971</v>
      </c>
      <c r="Q915" s="3">
        <f t="shared" si="162"/>
        <v>-0.66562974806637787</v>
      </c>
      <c r="R915" s="3">
        <f t="shared" si="164"/>
        <v>0.48605023309846029</v>
      </c>
    </row>
    <row r="916" spans="1:18" x14ac:dyDescent="0.3">
      <c r="A916" s="2">
        <v>912</v>
      </c>
      <c r="B916" s="2">
        <v>0</v>
      </c>
      <c r="C916" s="2">
        <v>34</v>
      </c>
      <c r="D916" s="2">
        <f t="shared" si="163"/>
        <v>1156</v>
      </c>
      <c r="E916" s="2">
        <v>68.120599999999996</v>
      </c>
      <c r="F916" s="2">
        <v>188.47</v>
      </c>
      <c r="G916" s="2">
        <v>0.20424200000000001</v>
      </c>
      <c r="H916" s="2">
        <v>2</v>
      </c>
      <c r="I916" s="3">
        <f t="shared" si="154"/>
        <v>0.8823288941184968</v>
      </c>
      <c r="J916" s="3">
        <f t="shared" si="155"/>
        <v>0.84927919610207925</v>
      </c>
      <c r="K916" s="3">
        <f t="shared" si="156"/>
        <v>-0.67461904063539069</v>
      </c>
      <c r="L916" s="3">
        <f t="shared" si="157"/>
        <v>0.88169911607221241</v>
      </c>
      <c r="M916" s="3">
        <f t="shared" si="158"/>
        <v>-1.0003901556431962</v>
      </c>
      <c r="N916" s="3">
        <f t="shared" si="159"/>
        <v>-0.86179582596158</v>
      </c>
      <c r="O916" s="3">
        <f t="shared" si="160"/>
        <v>1.2447786365324103E-3</v>
      </c>
      <c r="P916" s="3">
        <f t="shared" si="161"/>
        <v>0.50031119461895079</v>
      </c>
      <c r="Q916" s="3">
        <f t="shared" si="162"/>
        <v>-0.69376976356243081</v>
      </c>
      <c r="R916" s="3">
        <f t="shared" si="164"/>
        <v>-0.50031119461895079</v>
      </c>
    </row>
    <row r="917" spans="1:18" x14ac:dyDescent="0.3">
      <c r="A917" s="2">
        <v>913</v>
      </c>
      <c r="B917" s="2">
        <v>1</v>
      </c>
      <c r="C917" s="2">
        <v>29</v>
      </c>
      <c r="D917" s="2">
        <f t="shared" si="163"/>
        <v>841</v>
      </c>
      <c r="E917" s="2">
        <v>93.613200000000006</v>
      </c>
      <c r="F917" s="2">
        <v>181.7482</v>
      </c>
      <c r="G917" s="2">
        <v>0.41869499999999998</v>
      </c>
      <c r="H917" s="2">
        <v>5</v>
      </c>
      <c r="I917" s="3">
        <f t="shared" si="154"/>
        <v>0.1176132639239249</v>
      </c>
      <c r="J917" s="3">
        <f t="shared" si="155"/>
        <v>3.4985782383379449E-3</v>
      </c>
      <c r="K917" s="3">
        <f t="shared" si="156"/>
        <v>1.9023115101022778</v>
      </c>
      <c r="L917" s="3">
        <f t="shared" si="157"/>
        <v>0.20196867629032378</v>
      </c>
      <c r="M917" s="3">
        <f t="shared" si="158"/>
        <v>-0.25103756054936638</v>
      </c>
      <c r="N917" s="3">
        <f t="shared" si="159"/>
        <v>0.90176998432814681</v>
      </c>
      <c r="O917" s="3">
        <f t="shared" si="160"/>
        <v>0.13241257414098681</v>
      </c>
      <c r="P917" s="3">
        <f t="shared" si="161"/>
        <v>0.53305486148783099</v>
      </c>
      <c r="Q917" s="3">
        <f t="shared" si="162"/>
        <v>-0.62913093049248636</v>
      </c>
      <c r="R917" s="3">
        <f t="shared" si="164"/>
        <v>0.46694513851216901</v>
      </c>
    </row>
    <row r="918" spans="1:18" x14ac:dyDescent="0.3">
      <c r="A918" s="2">
        <v>914</v>
      </c>
      <c r="B918" s="2">
        <v>0</v>
      </c>
      <c r="C918" s="2">
        <v>32</v>
      </c>
      <c r="D918" s="2">
        <f t="shared" si="163"/>
        <v>1024</v>
      </c>
      <c r="E918" s="2">
        <v>93.866100000000003</v>
      </c>
      <c r="F918" s="2">
        <v>181.64660000000001</v>
      </c>
      <c r="G918" s="2">
        <v>0.219635</v>
      </c>
      <c r="H918" s="2">
        <v>4</v>
      </c>
      <c r="I918" s="3">
        <f t="shared" si="154"/>
        <v>0.57644264204066809</v>
      </c>
      <c r="J918" s="3">
        <f t="shared" si="155"/>
        <v>0.49485684194965435</v>
      </c>
      <c r="K918" s="3">
        <f t="shared" si="156"/>
        <v>1.9278760165191027</v>
      </c>
      <c r="L918" s="3">
        <f t="shared" si="157"/>
        <v>0.19169455140088443</v>
      </c>
      <c r="M918" s="3">
        <f t="shared" si="158"/>
        <v>-0.94660315104881276</v>
      </c>
      <c r="N918" s="3">
        <f t="shared" si="159"/>
        <v>0.31391471423157125</v>
      </c>
      <c r="O918" s="3">
        <f t="shared" si="160"/>
        <v>0.14457963313819419</v>
      </c>
      <c r="P918" s="3">
        <f t="shared" si="161"/>
        <v>0.5360820773860312</v>
      </c>
      <c r="Q918" s="3">
        <f t="shared" si="162"/>
        <v>-0.76804763332109616</v>
      </c>
      <c r="R918" s="3">
        <f t="shared" si="164"/>
        <v>-0.5360820773860312</v>
      </c>
    </row>
    <row r="919" spans="1:18" x14ac:dyDescent="0.3">
      <c r="A919" s="2">
        <v>915</v>
      </c>
      <c r="B919" s="2">
        <v>0</v>
      </c>
      <c r="C919" s="2">
        <v>18</v>
      </c>
      <c r="D919" s="2">
        <f t="shared" si="163"/>
        <v>324</v>
      </c>
      <c r="E919" s="2">
        <v>91.309299999999993</v>
      </c>
      <c r="F919" s="2">
        <v>176.10599999999999</v>
      </c>
      <c r="G919" s="2">
        <v>2.2699999999999999E-4</v>
      </c>
      <c r="H919" s="2">
        <v>2</v>
      </c>
      <c r="I919" s="3">
        <f t="shared" si="154"/>
        <v>-1.5647611225041334</v>
      </c>
      <c r="J919" s="3">
        <f t="shared" si="155"/>
        <v>-1.3846556421919931</v>
      </c>
      <c r="K919" s="3">
        <f t="shared" si="156"/>
        <v>1.6694207772682574</v>
      </c>
      <c r="L919" s="3">
        <f t="shared" si="157"/>
        <v>-0.36858907421361459</v>
      </c>
      <c r="M919" s="3">
        <f t="shared" si="158"/>
        <v>-1.7132697595100934</v>
      </c>
      <c r="N919" s="3">
        <f t="shared" si="159"/>
        <v>-0.86179582596158</v>
      </c>
      <c r="O919" s="3">
        <f t="shared" si="160"/>
        <v>0.45343590092367925</v>
      </c>
      <c r="P919" s="3">
        <f t="shared" si="161"/>
        <v>0.61145583894715916</v>
      </c>
      <c r="Q919" s="3">
        <f t="shared" si="162"/>
        <v>-0.94534844497077231</v>
      </c>
      <c r="R919" s="3">
        <f t="shared" si="164"/>
        <v>-0.61145583894715916</v>
      </c>
    </row>
    <row r="920" spans="1:18" x14ac:dyDescent="0.3">
      <c r="A920" s="2">
        <v>916</v>
      </c>
      <c r="B920" s="2">
        <v>1</v>
      </c>
      <c r="C920" s="2">
        <v>31</v>
      </c>
      <c r="D920" s="2">
        <f t="shared" si="163"/>
        <v>961</v>
      </c>
      <c r="E920" s="2">
        <v>84.564400000000006</v>
      </c>
      <c r="F920" s="2">
        <v>195.90899999999999</v>
      </c>
      <c r="G920" s="2">
        <v>0.91500199999999998</v>
      </c>
      <c r="H920" s="2">
        <v>2</v>
      </c>
      <c r="I920" s="3">
        <f t="shared" si="154"/>
        <v>0.42349951600175367</v>
      </c>
      <c r="J920" s="3">
        <f t="shared" si="155"/>
        <v>0.32570071837690606</v>
      </c>
      <c r="K920" s="3">
        <f t="shared" si="156"/>
        <v>0.98760962926175921</v>
      </c>
      <c r="L920" s="3">
        <f t="shared" si="157"/>
        <v>1.6339551697390076</v>
      </c>
      <c r="M920" s="3">
        <f t="shared" si="158"/>
        <v>1.4831836366977387</v>
      </c>
      <c r="N920" s="3">
        <f t="shared" si="159"/>
        <v>-0.86179582596158</v>
      </c>
      <c r="O920" s="3">
        <f t="shared" si="160"/>
        <v>3.6378394406718313E-2</v>
      </c>
      <c r="P920" s="3">
        <f t="shared" si="161"/>
        <v>0.50909359576115809</v>
      </c>
      <c r="Q920" s="3">
        <f t="shared" si="162"/>
        <v>-0.67512339768320329</v>
      </c>
      <c r="R920" s="3">
        <f t="shared" si="164"/>
        <v>0.49090640423884191</v>
      </c>
    </row>
    <row r="921" spans="1:18" x14ac:dyDescent="0.3">
      <c r="A921" s="2">
        <v>917</v>
      </c>
      <c r="B921" s="2">
        <v>0</v>
      </c>
      <c r="C921" s="2">
        <v>23</v>
      </c>
      <c r="D921" s="2">
        <f t="shared" si="163"/>
        <v>529</v>
      </c>
      <c r="E921" s="2">
        <v>68.752099999999999</v>
      </c>
      <c r="F921" s="2">
        <v>168.96979999999999</v>
      </c>
      <c r="G921" s="2">
        <v>0.84387900000000005</v>
      </c>
      <c r="H921" s="2">
        <v>6</v>
      </c>
      <c r="I921" s="3">
        <f t="shared" si="154"/>
        <v>-0.80004549230956135</v>
      </c>
      <c r="J921" s="3">
        <f t="shared" si="155"/>
        <v>-0.83422698612193913</v>
      </c>
      <c r="K921" s="3">
        <f t="shared" si="156"/>
        <v>-0.61078358866929694</v>
      </c>
      <c r="L921" s="3">
        <f t="shared" si="157"/>
        <v>-1.0902249997650315</v>
      </c>
      <c r="M921" s="3">
        <f t="shared" si="158"/>
        <v>1.2346620276698472</v>
      </c>
      <c r="N921" s="3">
        <f t="shared" si="159"/>
        <v>1.4896252544247224</v>
      </c>
      <c r="O921" s="3">
        <f t="shared" si="160"/>
        <v>-2.2184326044458549E-2</v>
      </c>
      <c r="P921" s="3">
        <f t="shared" si="161"/>
        <v>0.4944541459337356</v>
      </c>
      <c r="Q921" s="3">
        <f t="shared" si="162"/>
        <v>-0.68211653431652353</v>
      </c>
      <c r="R921" s="3">
        <f t="shared" si="164"/>
        <v>-0.4944541459337356</v>
      </c>
    </row>
    <row r="922" spans="1:18" x14ac:dyDescent="0.3">
      <c r="A922" s="2">
        <v>918</v>
      </c>
      <c r="B922" s="2">
        <v>1</v>
      </c>
      <c r="C922" s="2">
        <v>22</v>
      </c>
      <c r="D922" s="2">
        <f t="shared" si="163"/>
        <v>484</v>
      </c>
      <c r="E922" s="2">
        <v>83.278499999999994</v>
      </c>
      <c r="F922" s="2">
        <v>183.59020000000001</v>
      </c>
      <c r="G922" s="2">
        <v>0.74229199999999995</v>
      </c>
      <c r="H922" s="2">
        <v>4</v>
      </c>
      <c r="I922" s="3">
        <f t="shared" si="154"/>
        <v>-0.9529886183484757</v>
      </c>
      <c r="J922" s="3">
        <f t="shared" si="155"/>
        <v>-0.9550527886739022</v>
      </c>
      <c r="K922" s="3">
        <f t="shared" si="156"/>
        <v>0.85762386887664355</v>
      </c>
      <c r="L922" s="3">
        <f t="shared" si="157"/>
        <v>0.38823775154966611</v>
      </c>
      <c r="M922" s="3">
        <f t="shared" si="158"/>
        <v>0.87969155825325251</v>
      </c>
      <c r="N922" s="3">
        <f t="shared" si="159"/>
        <v>0.31391471423157125</v>
      </c>
      <c r="O922" s="3">
        <f t="shared" si="160"/>
        <v>0.16584704500052733</v>
      </c>
      <c r="P922" s="3">
        <f t="shared" si="161"/>
        <v>0.54136698727049004</v>
      </c>
      <c r="Q922" s="3">
        <f t="shared" si="162"/>
        <v>-0.61365788025788903</v>
      </c>
      <c r="R922" s="3">
        <f t="shared" si="164"/>
        <v>0.45863301272950996</v>
      </c>
    </row>
    <row r="923" spans="1:18" x14ac:dyDescent="0.3">
      <c r="A923" s="2">
        <v>919</v>
      </c>
      <c r="B923" s="2">
        <v>0</v>
      </c>
      <c r="C923" s="2">
        <v>28</v>
      </c>
      <c r="D923" s="2">
        <f t="shared" si="163"/>
        <v>784</v>
      </c>
      <c r="E923" s="2">
        <v>74.929599999999994</v>
      </c>
      <c r="F923" s="2">
        <v>170.12190000000001</v>
      </c>
      <c r="G923" s="2">
        <v>0.16781499999999999</v>
      </c>
      <c r="H923" s="2">
        <v>4</v>
      </c>
      <c r="I923" s="3">
        <f t="shared" si="154"/>
        <v>-3.5329862114989473E-2</v>
      </c>
      <c r="J923" s="3">
        <f t="shared" si="155"/>
        <v>-0.14954743832748191</v>
      </c>
      <c r="K923" s="3">
        <f t="shared" si="156"/>
        <v>1.367168373061241E-2</v>
      </c>
      <c r="L923" s="3">
        <f t="shared" si="157"/>
        <v>-0.97372087294294118</v>
      </c>
      <c r="M923" s="3">
        <f t="shared" si="158"/>
        <v>-1.1276752343386816</v>
      </c>
      <c r="N923" s="3">
        <f t="shared" si="159"/>
        <v>0.31391471423157125</v>
      </c>
      <c r="O923" s="3">
        <f t="shared" si="160"/>
        <v>4.0060806199643487E-2</v>
      </c>
      <c r="P923" s="3">
        <f t="shared" si="161"/>
        <v>0.51001386234163426</v>
      </c>
      <c r="Q923" s="3">
        <f t="shared" si="162"/>
        <v>-0.71337817877077947</v>
      </c>
      <c r="R923" s="3">
        <f t="shared" si="164"/>
        <v>-0.51001386234163426</v>
      </c>
    </row>
    <row r="924" spans="1:18" x14ac:dyDescent="0.3">
      <c r="A924" s="2">
        <v>920</v>
      </c>
      <c r="B924" s="2">
        <v>1</v>
      </c>
      <c r="C924" s="2">
        <v>21</v>
      </c>
      <c r="D924" s="2">
        <f t="shared" si="163"/>
        <v>441</v>
      </c>
      <c r="E924" s="2">
        <v>88.124099999999999</v>
      </c>
      <c r="F924" s="2">
        <v>185.34780000000001</v>
      </c>
      <c r="G924" s="2">
        <v>0.120364</v>
      </c>
      <c r="H924" s="2">
        <v>2</v>
      </c>
      <c r="I924" s="3">
        <f t="shared" si="154"/>
        <v>-1.1059317443873902</v>
      </c>
      <c r="J924" s="3">
        <f t="shared" si="155"/>
        <v>-1.0705085555568892</v>
      </c>
      <c r="K924" s="3">
        <f t="shared" si="156"/>
        <v>1.3474434508986599</v>
      </c>
      <c r="L924" s="3">
        <f t="shared" si="157"/>
        <v>0.56597202227486543</v>
      </c>
      <c r="M924" s="3">
        <f t="shared" si="158"/>
        <v>-1.2934809353071797</v>
      </c>
      <c r="N924" s="3">
        <f t="shared" si="159"/>
        <v>-0.86179582596158</v>
      </c>
      <c r="O924" s="3">
        <f t="shared" si="160"/>
        <v>0.33897438285903236</v>
      </c>
      <c r="P924" s="3">
        <f t="shared" si="161"/>
        <v>0.58394136677763686</v>
      </c>
      <c r="Q924" s="3">
        <f t="shared" si="162"/>
        <v>-0.53795470054762395</v>
      </c>
      <c r="R924" s="3">
        <f t="shared" si="164"/>
        <v>0.41605863322236314</v>
      </c>
    </row>
    <row r="925" spans="1:18" x14ac:dyDescent="0.3">
      <c r="A925" s="2">
        <v>921</v>
      </c>
      <c r="B925" s="2">
        <v>0</v>
      </c>
      <c r="C925" s="2">
        <v>30</v>
      </c>
      <c r="D925" s="2">
        <f t="shared" si="163"/>
        <v>900</v>
      </c>
      <c r="E925" s="2">
        <v>86.159000000000006</v>
      </c>
      <c r="F925" s="2">
        <v>169.62979999999999</v>
      </c>
      <c r="G925" s="2">
        <v>6.7604999999999998E-2</v>
      </c>
      <c r="H925" s="2">
        <v>2</v>
      </c>
      <c r="I925" s="3">
        <f t="shared" si="154"/>
        <v>0.27055638996283926</v>
      </c>
      <c r="J925" s="3">
        <f t="shared" si="155"/>
        <v>0.16191463047313392</v>
      </c>
      <c r="K925" s="3">
        <f t="shared" si="156"/>
        <v>1.1488004633158095</v>
      </c>
      <c r="L925" s="3">
        <f t="shared" si="157"/>
        <v>-1.0234836372942582</v>
      </c>
      <c r="M925" s="3">
        <f t="shared" si="158"/>
        <v>-1.4778341202220813</v>
      </c>
      <c r="N925" s="3">
        <f t="shared" si="159"/>
        <v>-0.86179582596158</v>
      </c>
      <c r="O925" s="3">
        <f t="shared" si="160"/>
        <v>0.12020513954321001</v>
      </c>
      <c r="P925" s="3">
        <f t="shared" si="161"/>
        <v>0.5300151521527009</v>
      </c>
      <c r="Q925" s="3">
        <f t="shared" si="162"/>
        <v>-0.75505482342047625</v>
      </c>
      <c r="R925" s="3">
        <f t="shared" si="164"/>
        <v>-0.5300151521527009</v>
      </c>
    </row>
    <row r="926" spans="1:18" x14ac:dyDescent="0.3">
      <c r="A926" s="2">
        <v>922</v>
      </c>
      <c r="B926" s="2">
        <v>0</v>
      </c>
      <c r="C926" s="2">
        <v>28</v>
      </c>
      <c r="D926" s="2">
        <f t="shared" si="163"/>
        <v>784</v>
      </c>
      <c r="E926" s="2">
        <v>68.507300000000001</v>
      </c>
      <c r="F926" s="2">
        <v>187.43819999999999</v>
      </c>
      <c r="G926" s="2">
        <v>0.72402900000000003</v>
      </c>
      <c r="H926" s="2">
        <v>2</v>
      </c>
      <c r="I926" s="3">
        <f t="shared" si="154"/>
        <v>-3.5329862114989473E-2</v>
      </c>
      <c r="J926" s="3">
        <f t="shared" si="155"/>
        <v>-0.14954743832748191</v>
      </c>
      <c r="K926" s="3">
        <f t="shared" si="156"/>
        <v>-0.63552930306565414</v>
      </c>
      <c r="L926" s="3">
        <f t="shared" si="157"/>
        <v>0.77736011940956917</v>
      </c>
      <c r="M926" s="3">
        <f t="shared" si="158"/>
        <v>0.81587605348438219</v>
      </c>
      <c r="N926" s="3">
        <f t="shared" si="159"/>
        <v>-0.86179582596158</v>
      </c>
      <c r="O926" s="3">
        <f t="shared" si="160"/>
        <v>-2.8119736034738212E-2</v>
      </c>
      <c r="P926" s="3">
        <f t="shared" si="161"/>
        <v>0.49297052918021428</v>
      </c>
      <c r="Q926" s="3">
        <f t="shared" si="162"/>
        <v>-0.67918614923063581</v>
      </c>
      <c r="R926" s="3">
        <f t="shared" si="164"/>
        <v>-0.49297052918021428</v>
      </c>
    </row>
    <row r="927" spans="1:18" x14ac:dyDescent="0.3">
      <c r="A927" s="2">
        <v>923</v>
      </c>
      <c r="B927" s="2">
        <v>1</v>
      </c>
      <c r="C927" s="2">
        <v>20</v>
      </c>
      <c r="D927" s="2">
        <f t="shared" si="163"/>
        <v>400</v>
      </c>
      <c r="E927" s="2">
        <v>84.478300000000004</v>
      </c>
      <c r="F927" s="2">
        <v>181.12100000000001</v>
      </c>
      <c r="G927" s="2">
        <v>0.92880799999999997</v>
      </c>
      <c r="H927" s="2">
        <v>6</v>
      </c>
      <c r="I927" s="3">
        <f t="shared" si="154"/>
        <v>-1.2588748704263044</v>
      </c>
      <c r="J927" s="3">
        <f t="shared" si="155"/>
        <v>-1.1805942867708998</v>
      </c>
      <c r="K927" s="3">
        <f t="shared" si="156"/>
        <v>0.97890617334049113</v>
      </c>
      <c r="L927" s="3">
        <f t="shared" si="157"/>
        <v>0.13854415728779587</v>
      </c>
      <c r="M927" s="3">
        <f t="shared" si="158"/>
        <v>1.5314252650632332</v>
      </c>
      <c r="N927" s="3">
        <f t="shared" si="159"/>
        <v>1.4896252544247224</v>
      </c>
      <c r="O927" s="3">
        <f t="shared" si="160"/>
        <v>0.18232255747263601</v>
      </c>
      <c r="P927" s="3">
        <f t="shared" si="161"/>
        <v>0.54545479355668658</v>
      </c>
      <c r="Q927" s="3">
        <f t="shared" si="162"/>
        <v>-0.60613534871649355</v>
      </c>
      <c r="R927" s="3">
        <f t="shared" si="164"/>
        <v>0.45454520644331342</v>
      </c>
    </row>
    <row r="928" spans="1:18" x14ac:dyDescent="0.3">
      <c r="A928" s="2">
        <v>924</v>
      </c>
      <c r="B928" s="2">
        <v>1</v>
      </c>
      <c r="C928" s="2">
        <v>18</v>
      </c>
      <c r="D928" s="2">
        <f t="shared" si="163"/>
        <v>324</v>
      </c>
      <c r="E928" s="2">
        <v>81.820300000000003</v>
      </c>
      <c r="F928" s="2">
        <v>197.44640000000001</v>
      </c>
      <c r="G928" s="2">
        <v>0.43053599999999997</v>
      </c>
      <c r="H928" s="2">
        <v>4</v>
      </c>
      <c r="I928" s="3">
        <f t="shared" si="154"/>
        <v>-1.5647611225041334</v>
      </c>
      <c r="J928" s="3">
        <f t="shared" si="155"/>
        <v>-1.3846556421919931</v>
      </c>
      <c r="K928" s="3">
        <f t="shared" si="156"/>
        <v>0.71022108810553186</v>
      </c>
      <c r="L928" s="3">
        <f t="shared" si="157"/>
        <v>1.7894220949853239</v>
      </c>
      <c r="M928" s="3">
        <f t="shared" si="158"/>
        <v>-0.20966213526501021</v>
      </c>
      <c r="N928" s="3">
        <f t="shared" si="159"/>
        <v>0.31391471423157125</v>
      </c>
      <c r="O928" s="3">
        <f t="shared" si="160"/>
        <v>0.36027246749878866</v>
      </c>
      <c r="P928" s="3">
        <f t="shared" si="161"/>
        <v>0.58910638915631897</v>
      </c>
      <c r="Q928" s="3">
        <f t="shared" si="162"/>
        <v>-0.52914848489063182</v>
      </c>
      <c r="R928" s="3">
        <f t="shared" si="164"/>
        <v>0.41089361084368103</v>
      </c>
    </row>
    <row r="929" spans="1:18" x14ac:dyDescent="0.3">
      <c r="A929" s="2">
        <v>925</v>
      </c>
      <c r="B929" s="2">
        <v>0</v>
      </c>
      <c r="C929" s="2">
        <v>23</v>
      </c>
      <c r="D929" s="2">
        <f t="shared" si="163"/>
        <v>529</v>
      </c>
      <c r="E929" s="2">
        <v>47.264400000000002</v>
      </c>
      <c r="F929" s="2">
        <v>177.18979999999999</v>
      </c>
      <c r="G929" s="2">
        <v>0.119141</v>
      </c>
      <c r="H929" s="2">
        <v>2</v>
      </c>
      <c r="I929" s="3">
        <f t="shared" si="154"/>
        <v>-0.80004549230956135</v>
      </c>
      <c r="J929" s="3">
        <f t="shared" si="155"/>
        <v>-0.83422698612193913</v>
      </c>
      <c r="K929" s="3">
        <f t="shared" si="156"/>
        <v>-2.7828770822747262</v>
      </c>
      <c r="L929" s="3">
        <f t="shared" si="157"/>
        <v>-0.25899166717448691</v>
      </c>
      <c r="M929" s="3">
        <f t="shared" si="158"/>
        <v>-1.2977544041968654</v>
      </c>
      <c r="N929" s="3">
        <f t="shared" si="159"/>
        <v>-0.86179582596158</v>
      </c>
      <c r="O929" s="3">
        <f t="shared" si="160"/>
        <v>-4.8991312748982527E-3</v>
      </c>
      <c r="P929" s="3">
        <f t="shared" si="161"/>
        <v>0.49877521963098698</v>
      </c>
      <c r="Q929" s="3">
        <f t="shared" si="162"/>
        <v>-0.69070061510540182</v>
      </c>
      <c r="R929" s="3">
        <f t="shared" si="164"/>
        <v>-0.49877521963098698</v>
      </c>
    </row>
    <row r="930" spans="1:18" x14ac:dyDescent="0.3">
      <c r="A930" s="2">
        <v>926</v>
      </c>
      <c r="B930" s="2">
        <v>0</v>
      </c>
      <c r="C930" s="2">
        <v>35</v>
      </c>
      <c r="D930" s="2">
        <f t="shared" si="163"/>
        <v>1225</v>
      </c>
      <c r="E930" s="2">
        <v>83.009399999999999</v>
      </c>
      <c r="F930" s="2">
        <v>184.24969999999999</v>
      </c>
      <c r="G930" s="2">
        <v>0.51239299999999999</v>
      </c>
      <c r="H930" s="2">
        <v>1</v>
      </c>
      <c r="I930" s="3">
        <f t="shared" si="154"/>
        <v>1.0352720201574113</v>
      </c>
      <c r="J930" s="3">
        <f t="shared" si="155"/>
        <v>1.034545426681756</v>
      </c>
      <c r="K930" s="3">
        <f t="shared" si="156"/>
        <v>0.83042177841888354</v>
      </c>
      <c r="L930" s="3">
        <f t="shared" si="157"/>
        <v>0.45492855238220231</v>
      </c>
      <c r="M930" s="3">
        <f t="shared" si="158"/>
        <v>7.6366763265649854E-2</v>
      </c>
      <c r="N930" s="3">
        <f t="shared" si="159"/>
        <v>-1.4496510960581555</v>
      </c>
      <c r="O930" s="3">
        <f t="shared" si="160"/>
        <v>5.1948603883876565E-2</v>
      </c>
      <c r="P930" s="3">
        <f t="shared" si="161"/>
        <v>0.51298423110296698</v>
      </c>
      <c r="Q930" s="3">
        <f t="shared" si="162"/>
        <v>-0.71945877675839176</v>
      </c>
      <c r="R930" s="3">
        <f t="shared" si="164"/>
        <v>-0.51298423110296698</v>
      </c>
    </row>
    <row r="931" spans="1:18" x14ac:dyDescent="0.3">
      <c r="A931" s="2">
        <v>927</v>
      </c>
      <c r="B931" s="2">
        <v>1</v>
      </c>
      <c r="C931" s="2">
        <v>27</v>
      </c>
      <c r="D931" s="2">
        <f t="shared" si="163"/>
        <v>729</v>
      </c>
      <c r="E931" s="2">
        <v>70.682000000000002</v>
      </c>
      <c r="F931" s="2">
        <v>172.20339999999999</v>
      </c>
      <c r="G931" s="2">
        <v>0.34883199999999998</v>
      </c>
      <c r="H931" s="2">
        <v>4</v>
      </c>
      <c r="I931" s="3">
        <f t="shared" si="154"/>
        <v>-0.18827298815390386</v>
      </c>
      <c r="J931" s="3">
        <f t="shared" si="155"/>
        <v>-0.29722341922432566</v>
      </c>
      <c r="K931" s="3">
        <f t="shared" si="156"/>
        <v>-0.41569880838526807</v>
      </c>
      <c r="L931" s="3">
        <f t="shared" si="157"/>
        <v>-0.7632327729688293</v>
      </c>
      <c r="M931" s="3">
        <f t="shared" si="158"/>
        <v>-0.49515641340309302</v>
      </c>
      <c r="N931" s="3">
        <f t="shared" si="159"/>
        <v>0.31391471423157125</v>
      </c>
      <c r="O931" s="3">
        <f t="shared" si="160"/>
        <v>5.2949011233764708E-3</v>
      </c>
      <c r="P931" s="3">
        <f t="shared" si="161"/>
        <v>0.50132372218819177</v>
      </c>
      <c r="Q931" s="3">
        <f t="shared" si="162"/>
        <v>-0.6905032344914015</v>
      </c>
      <c r="R931" s="3">
        <f t="shared" si="164"/>
        <v>0.49867627781180823</v>
      </c>
    </row>
    <row r="932" spans="1:18" x14ac:dyDescent="0.3">
      <c r="A932" s="2">
        <v>928</v>
      </c>
      <c r="B932" s="2">
        <v>0</v>
      </c>
      <c r="C932" s="2">
        <v>22</v>
      </c>
      <c r="D932" s="2">
        <f t="shared" si="163"/>
        <v>484</v>
      </c>
      <c r="E932" s="2">
        <v>66.139600000000002</v>
      </c>
      <c r="F932" s="2">
        <v>177.12110000000001</v>
      </c>
      <c r="G932" s="2">
        <v>0.37482500000000002</v>
      </c>
      <c r="H932" s="2">
        <v>6</v>
      </c>
      <c r="I932" s="3">
        <f t="shared" si="154"/>
        <v>-0.9529886183484757</v>
      </c>
      <c r="J932" s="3">
        <f t="shared" si="155"/>
        <v>-0.9550527886739022</v>
      </c>
      <c r="K932" s="3">
        <f t="shared" si="156"/>
        <v>-0.87486928662878904</v>
      </c>
      <c r="L932" s="3">
        <f t="shared" si="157"/>
        <v>-0.26593883626803344</v>
      </c>
      <c r="M932" s="3">
        <f t="shared" si="158"/>
        <v>-0.4043303489308126</v>
      </c>
      <c r="N932" s="3">
        <f t="shared" si="159"/>
        <v>1.4896252544247224</v>
      </c>
      <c r="O932" s="3">
        <f t="shared" si="160"/>
        <v>7.5280673745866333E-2</v>
      </c>
      <c r="P932" s="3">
        <f t="shared" si="161"/>
        <v>0.51881128536403442</v>
      </c>
      <c r="Q932" s="3">
        <f t="shared" si="162"/>
        <v>-0.73149574770034087</v>
      </c>
      <c r="R932" s="3">
        <f t="shared" si="164"/>
        <v>-0.51881128536403442</v>
      </c>
    </row>
    <row r="933" spans="1:18" x14ac:dyDescent="0.3">
      <c r="A933" s="2">
        <v>929</v>
      </c>
      <c r="B933" s="2">
        <v>1</v>
      </c>
      <c r="C933" s="2">
        <v>27</v>
      </c>
      <c r="D933" s="2">
        <f t="shared" si="163"/>
        <v>729</v>
      </c>
      <c r="E933" s="2">
        <v>66.567400000000006</v>
      </c>
      <c r="F933" s="2">
        <v>181.0575</v>
      </c>
      <c r="G933" s="2">
        <v>0.62133099999999997</v>
      </c>
      <c r="H933" s="2">
        <v>1</v>
      </c>
      <c r="I933" s="3">
        <f t="shared" si="154"/>
        <v>-0.18827298815390386</v>
      </c>
      <c r="J933" s="3">
        <f t="shared" si="155"/>
        <v>-0.29722341922432566</v>
      </c>
      <c r="K933" s="3">
        <f t="shared" si="156"/>
        <v>-0.83162493769593848</v>
      </c>
      <c r="L933" s="3">
        <f t="shared" si="157"/>
        <v>0.13212282923189519</v>
      </c>
      <c r="M933" s="3">
        <f t="shared" si="158"/>
        <v>0.45702347128247228</v>
      </c>
      <c r="N933" s="3">
        <f t="shared" si="159"/>
        <v>-1.4496510960581555</v>
      </c>
      <c r="O933" s="3">
        <f t="shared" si="160"/>
        <v>-1.7095679315167991E-2</v>
      </c>
      <c r="P933" s="3">
        <f t="shared" si="161"/>
        <v>0.49572618426028509</v>
      </c>
      <c r="Q933" s="3">
        <f t="shared" si="162"/>
        <v>-0.7017315525540625</v>
      </c>
      <c r="R933" s="3">
        <f t="shared" si="164"/>
        <v>0.50427381573971486</v>
      </c>
    </row>
    <row r="934" spans="1:18" x14ac:dyDescent="0.3">
      <c r="A934" s="2">
        <v>930</v>
      </c>
      <c r="B934" s="2">
        <v>0</v>
      </c>
      <c r="C934" s="2">
        <v>29</v>
      </c>
      <c r="D934" s="2">
        <f t="shared" si="163"/>
        <v>841</v>
      </c>
      <c r="E934" s="2">
        <v>73.647599999999997</v>
      </c>
      <c r="F934" s="2">
        <v>164.7278</v>
      </c>
      <c r="G934" s="2">
        <v>0.71871799999999997</v>
      </c>
      <c r="H934" s="2">
        <v>3</v>
      </c>
      <c r="I934" s="3">
        <f t="shared" si="154"/>
        <v>0.1176132639239249</v>
      </c>
      <c r="J934" s="3">
        <f t="shared" si="155"/>
        <v>3.4985782383379449E-3</v>
      </c>
      <c r="K934" s="3">
        <f t="shared" si="156"/>
        <v>-0.1159198434594616</v>
      </c>
      <c r="L934" s="3">
        <f t="shared" si="157"/>
        <v>-1.5191899385544576</v>
      </c>
      <c r="M934" s="3">
        <f t="shared" si="158"/>
        <v>0.7973180867851829</v>
      </c>
      <c r="N934" s="3">
        <f t="shared" si="159"/>
        <v>-0.27394055586500432</v>
      </c>
      <c r="O934" s="3">
        <f t="shared" si="160"/>
        <v>-6.7955091875298412E-2</v>
      </c>
      <c r="P934" s="3">
        <f t="shared" si="161"/>
        <v>0.483017761710334</v>
      </c>
      <c r="Q934" s="3">
        <f t="shared" si="162"/>
        <v>-0.65974676040300329</v>
      </c>
      <c r="R934" s="3">
        <f t="shared" si="164"/>
        <v>-0.483017761710334</v>
      </c>
    </row>
    <row r="935" spans="1:18" x14ac:dyDescent="0.3">
      <c r="A935" s="2">
        <v>931</v>
      </c>
      <c r="B935" s="2">
        <v>1</v>
      </c>
      <c r="C935" s="2">
        <v>19</v>
      </c>
      <c r="D935" s="2">
        <f t="shared" si="163"/>
        <v>361</v>
      </c>
      <c r="E935" s="2">
        <v>79.800600000000003</v>
      </c>
      <c r="F935" s="2">
        <v>165.82380000000001</v>
      </c>
      <c r="G935" s="2">
        <v>0.11060399999999999</v>
      </c>
      <c r="H935" s="2">
        <v>4</v>
      </c>
      <c r="I935" s="3">
        <f t="shared" si="154"/>
        <v>-1.4118179964652189</v>
      </c>
      <c r="J935" s="3">
        <f t="shared" si="155"/>
        <v>-1.2853099823159346</v>
      </c>
      <c r="K935" s="3">
        <f t="shared" si="156"/>
        <v>0.50605883579212052</v>
      </c>
      <c r="L935" s="3">
        <f t="shared" si="157"/>
        <v>-1.4083588275423846</v>
      </c>
      <c r="M935" s="3">
        <f t="shared" si="158"/>
        <v>-1.3275848244022999</v>
      </c>
      <c r="N935" s="3">
        <f t="shared" si="159"/>
        <v>0.31391471423157125</v>
      </c>
      <c r="O935" s="3">
        <f t="shared" si="160"/>
        <v>0.28576359107983951</v>
      </c>
      <c r="P935" s="3">
        <f t="shared" si="161"/>
        <v>0.57095867500800856</v>
      </c>
      <c r="Q935" s="3">
        <f t="shared" si="162"/>
        <v>-0.56043844496092676</v>
      </c>
      <c r="R935" s="3">
        <f t="shared" si="164"/>
        <v>0.42904132499199144</v>
      </c>
    </row>
    <row r="936" spans="1:18" x14ac:dyDescent="0.3">
      <c r="A936" s="2">
        <v>932</v>
      </c>
      <c r="B936" s="2">
        <v>0</v>
      </c>
      <c r="C936" s="2">
        <v>30</v>
      </c>
      <c r="D936" s="2">
        <f t="shared" si="163"/>
        <v>900</v>
      </c>
      <c r="E936" s="2">
        <v>61.345399999999998</v>
      </c>
      <c r="F936" s="2">
        <v>185.99860000000001</v>
      </c>
      <c r="G936" s="2">
        <v>3.5589999999999997E-2</v>
      </c>
      <c r="H936" s="2">
        <v>3</v>
      </c>
      <c r="I936" s="3">
        <f t="shared" si="154"/>
        <v>0.27055638996283926</v>
      </c>
      <c r="J936" s="3">
        <f t="shared" si="155"/>
        <v>0.16191463047313392</v>
      </c>
      <c r="K936" s="3">
        <f t="shared" si="156"/>
        <v>-1.3594930773110472</v>
      </c>
      <c r="L936" s="3">
        <f t="shared" si="157"/>
        <v>0.63178305060210749</v>
      </c>
      <c r="M936" s="3">
        <f t="shared" si="158"/>
        <v>-1.5897025638061251</v>
      </c>
      <c r="N936" s="3">
        <f t="shared" si="159"/>
        <v>-0.27394055586500432</v>
      </c>
      <c r="O936" s="3">
        <f t="shared" si="160"/>
        <v>-9.3121110840837969E-3</v>
      </c>
      <c r="P936" s="3">
        <f t="shared" si="161"/>
        <v>0.49767198905182397</v>
      </c>
      <c r="Q936" s="3">
        <f t="shared" si="162"/>
        <v>-0.68850196440534461</v>
      </c>
      <c r="R936" s="3">
        <f t="shared" si="164"/>
        <v>-0.49767198905182397</v>
      </c>
    </row>
    <row r="937" spans="1:18" x14ac:dyDescent="0.3">
      <c r="A937" s="2">
        <v>933</v>
      </c>
      <c r="B937" s="2">
        <v>1</v>
      </c>
      <c r="C937" s="2">
        <v>25</v>
      </c>
      <c r="D937" s="2">
        <f t="shared" si="163"/>
        <v>625</v>
      </c>
      <c r="E937" s="2">
        <v>76.898499999999999</v>
      </c>
      <c r="F937" s="2">
        <v>178.53909999999999</v>
      </c>
      <c r="G937" s="2">
        <v>0.99433000000000005</v>
      </c>
      <c r="H937" s="2">
        <v>2</v>
      </c>
      <c r="I937" s="3">
        <f t="shared" si="154"/>
        <v>-0.49415924023173263</v>
      </c>
      <c r="J937" s="3">
        <f t="shared" si="155"/>
        <v>-0.57646527401108472</v>
      </c>
      <c r="K937" s="3">
        <f t="shared" si="156"/>
        <v>0.21269879596504149</v>
      </c>
      <c r="L937" s="3">
        <f t="shared" si="157"/>
        <v>-0.12254603023234317</v>
      </c>
      <c r="M937" s="3">
        <f t="shared" si="158"/>
        <v>1.7603755746216816</v>
      </c>
      <c r="N937" s="3">
        <f t="shared" si="159"/>
        <v>-0.86179582596158</v>
      </c>
      <c r="O937" s="3">
        <f t="shared" si="160"/>
        <v>1.9025767830801364E-2</v>
      </c>
      <c r="P937" s="3">
        <f t="shared" si="161"/>
        <v>0.5047562984848849</v>
      </c>
      <c r="Q937" s="3">
        <f t="shared" si="162"/>
        <v>-0.6836795434423103</v>
      </c>
      <c r="R937" s="3">
        <f t="shared" si="164"/>
        <v>0.4952437015151151</v>
      </c>
    </row>
    <row r="938" spans="1:18" x14ac:dyDescent="0.3">
      <c r="A938" s="2">
        <v>934</v>
      </c>
      <c r="B938" s="2">
        <v>1</v>
      </c>
      <c r="C938" s="2">
        <v>19</v>
      </c>
      <c r="D938" s="2">
        <f t="shared" si="163"/>
        <v>361</v>
      </c>
      <c r="E938" s="2">
        <v>80.767600000000002</v>
      </c>
      <c r="F938" s="2">
        <v>174.07069999999999</v>
      </c>
      <c r="G938" s="2">
        <v>0.23272799999999999</v>
      </c>
      <c r="H938" s="2">
        <v>6</v>
      </c>
      <c r="I938" s="3">
        <f t="shared" si="154"/>
        <v>-1.4118179964652189</v>
      </c>
      <c r="J938" s="3">
        <f t="shared" si="155"/>
        <v>-1.2853099823159346</v>
      </c>
      <c r="K938" s="3">
        <f t="shared" si="156"/>
        <v>0.60380845107511727</v>
      </c>
      <c r="L938" s="3">
        <f t="shared" si="157"/>
        <v>-0.57440527881477532</v>
      </c>
      <c r="M938" s="3">
        <f t="shared" si="158"/>
        <v>-0.90085292359774638</v>
      </c>
      <c r="N938" s="3">
        <f t="shared" si="159"/>
        <v>1.4896252544247224</v>
      </c>
      <c r="O938" s="3">
        <f t="shared" si="160"/>
        <v>0.27697063842094793</v>
      </c>
      <c r="P938" s="3">
        <f t="shared" si="161"/>
        <v>0.56880337965390904</v>
      </c>
      <c r="Q938" s="3">
        <f t="shared" si="162"/>
        <v>-0.56422045878447624</v>
      </c>
      <c r="R938" s="3">
        <f t="shared" si="164"/>
        <v>0.43119662034609096</v>
      </c>
    </row>
    <row r="939" spans="1:18" x14ac:dyDescent="0.3">
      <c r="A939" s="2">
        <v>935</v>
      </c>
      <c r="B939" s="2">
        <v>0</v>
      </c>
      <c r="C939" s="2">
        <v>37</v>
      </c>
      <c r="D939" s="2">
        <f t="shared" si="163"/>
        <v>1369</v>
      </c>
      <c r="E939" s="2">
        <v>93.618099999999998</v>
      </c>
      <c r="F939" s="2">
        <v>172.6301</v>
      </c>
      <c r="G939" s="2">
        <v>5.3830999999999997E-2</v>
      </c>
      <c r="H939" s="2">
        <v>2</v>
      </c>
      <c r="I939" s="3">
        <f t="shared" si="154"/>
        <v>1.34115827223524</v>
      </c>
      <c r="J939" s="3">
        <f t="shared" si="155"/>
        <v>1.4211879948480377</v>
      </c>
      <c r="K939" s="3">
        <f t="shared" si="156"/>
        <v>1.9028068287319426</v>
      </c>
      <c r="L939" s="3">
        <f t="shared" si="157"/>
        <v>-0.72008347089870839</v>
      </c>
      <c r="M939" s="3">
        <f t="shared" si="158"/>
        <v>-1.5259639325577556</v>
      </c>
      <c r="N939" s="3">
        <f t="shared" si="159"/>
        <v>-0.86179582596158</v>
      </c>
      <c r="O939" s="3">
        <f t="shared" si="160"/>
        <v>0.16028151791314174</v>
      </c>
      <c r="P939" s="3">
        <f t="shared" si="161"/>
        <v>0.5399848147338222</v>
      </c>
      <c r="Q939" s="3">
        <f t="shared" si="162"/>
        <v>-0.77649577859564967</v>
      </c>
      <c r="R939" s="3">
        <f t="shared" si="164"/>
        <v>-0.5399848147338222</v>
      </c>
    </row>
    <row r="940" spans="1:18" x14ac:dyDescent="0.3">
      <c r="A940" s="2">
        <v>936</v>
      </c>
      <c r="B940" s="2">
        <v>1</v>
      </c>
      <c r="C940" s="2">
        <v>18</v>
      </c>
      <c r="D940" s="2">
        <f t="shared" si="163"/>
        <v>324</v>
      </c>
      <c r="E940" s="2">
        <v>64.233099999999993</v>
      </c>
      <c r="F940" s="2">
        <v>173.01509999999999</v>
      </c>
      <c r="G940" s="2">
        <v>0.18987499999999999</v>
      </c>
      <c r="H940" s="2">
        <v>6</v>
      </c>
      <c r="I940" s="3">
        <f t="shared" si="154"/>
        <v>-1.5647611225041334</v>
      </c>
      <c r="J940" s="3">
        <f t="shared" si="155"/>
        <v>-1.3846556421919931</v>
      </c>
      <c r="K940" s="3">
        <f t="shared" si="156"/>
        <v>-1.0675886677425783</v>
      </c>
      <c r="L940" s="3">
        <f t="shared" si="157"/>
        <v>-0.68115100945742457</v>
      </c>
      <c r="M940" s="3">
        <f t="shared" si="158"/>
        <v>-1.0505920587814739</v>
      </c>
      <c r="N940" s="3">
        <f t="shared" si="159"/>
        <v>1.4896252544247224</v>
      </c>
      <c r="O940" s="3">
        <f t="shared" si="160"/>
        <v>0.20580224193964511</v>
      </c>
      <c r="P940" s="3">
        <f t="shared" si="161"/>
        <v>0.55126972918317463</v>
      </c>
      <c r="Q940" s="3">
        <f t="shared" si="162"/>
        <v>-0.59553106296007396</v>
      </c>
      <c r="R940" s="3">
        <f t="shared" si="164"/>
        <v>0.44873027081682537</v>
      </c>
    </row>
    <row r="941" spans="1:18" x14ac:dyDescent="0.3">
      <c r="A941" s="2">
        <v>937</v>
      </c>
      <c r="B941" s="2">
        <v>0</v>
      </c>
      <c r="C941" s="2">
        <v>22</v>
      </c>
      <c r="D941" s="2">
        <f t="shared" si="163"/>
        <v>484</v>
      </c>
      <c r="E941" s="2">
        <v>71.503900000000002</v>
      </c>
      <c r="F941" s="2">
        <v>181.12549999999999</v>
      </c>
      <c r="G941" s="2">
        <v>3.8958E-2</v>
      </c>
      <c r="H941" s="2">
        <v>5</v>
      </c>
      <c r="I941" s="3">
        <f t="shared" si="154"/>
        <v>-0.9529886183484757</v>
      </c>
      <c r="J941" s="3">
        <f t="shared" si="155"/>
        <v>-0.9550527886739022</v>
      </c>
      <c r="K941" s="3">
        <f t="shared" si="156"/>
        <v>-0.33261668966645214</v>
      </c>
      <c r="L941" s="3">
        <f t="shared" si="157"/>
        <v>0.13899921203191265</v>
      </c>
      <c r="M941" s="3">
        <f t="shared" si="158"/>
        <v>-1.5779339266675632</v>
      </c>
      <c r="N941" s="3">
        <f t="shared" si="159"/>
        <v>0.90176998432814681</v>
      </c>
      <c r="O941" s="3">
        <f t="shared" si="160"/>
        <v>0.17829209804867061</v>
      </c>
      <c r="P941" s="3">
        <f t="shared" si="161"/>
        <v>0.54445532443366096</v>
      </c>
      <c r="Q941" s="3">
        <f t="shared" si="162"/>
        <v>-0.78626148681431651</v>
      </c>
      <c r="R941" s="3">
        <f t="shared" si="164"/>
        <v>-0.54445532443366096</v>
      </c>
    </row>
    <row r="942" spans="1:18" x14ac:dyDescent="0.3">
      <c r="A942" s="2">
        <v>938</v>
      </c>
      <c r="B942" s="2">
        <v>1</v>
      </c>
      <c r="C942" s="2">
        <v>26</v>
      </c>
      <c r="D942" s="2">
        <f t="shared" si="163"/>
        <v>676</v>
      </c>
      <c r="E942" s="2">
        <v>77.616600000000005</v>
      </c>
      <c r="F942" s="2">
        <v>184.4504</v>
      </c>
      <c r="G942" s="2">
        <v>0.39181100000000002</v>
      </c>
      <c r="H942" s="2">
        <v>2</v>
      </c>
      <c r="I942" s="3">
        <f t="shared" si="154"/>
        <v>-0.34121611419281822</v>
      </c>
      <c r="J942" s="3">
        <f t="shared" si="155"/>
        <v>-0.43952936445219321</v>
      </c>
      <c r="K942" s="3">
        <f t="shared" si="156"/>
        <v>0.28528824656971641</v>
      </c>
      <c r="L942" s="3">
        <f t="shared" si="157"/>
        <v>0.47522399396990694</v>
      </c>
      <c r="M942" s="3">
        <f t="shared" si="158"/>
        <v>-0.34497700260194897</v>
      </c>
      <c r="N942" s="3">
        <f t="shared" si="159"/>
        <v>-0.86179582596158</v>
      </c>
      <c r="O942" s="3">
        <f t="shared" si="160"/>
        <v>0.10748072544327869</v>
      </c>
      <c r="P942" s="3">
        <f t="shared" si="161"/>
        <v>0.52684434394202817</v>
      </c>
      <c r="Q942" s="3">
        <f t="shared" si="162"/>
        <v>-0.64085013660772638</v>
      </c>
      <c r="R942" s="3">
        <f t="shared" si="164"/>
        <v>0.47315565605797183</v>
      </c>
    </row>
    <row r="943" spans="1:18" x14ac:dyDescent="0.3">
      <c r="A943" s="2">
        <v>939</v>
      </c>
      <c r="B943" s="2">
        <v>1</v>
      </c>
      <c r="C943" s="2">
        <v>34</v>
      </c>
      <c r="D943" s="2">
        <f t="shared" si="163"/>
        <v>1156</v>
      </c>
      <c r="E943" s="2">
        <v>86.474100000000007</v>
      </c>
      <c r="F943" s="2">
        <v>159.0789</v>
      </c>
      <c r="G943" s="2">
        <v>0.80240199999999995</v>
      </c>
      <c r="H943" s="2">
        <v>3</v>
      </c>
      <c r="I943" s="3">
        <f t="shared" si="154"/>
        <v>0.8823288941184968</v>
      </c>
      <c r="J943" s="3">
        <f t="shared" si="155"/>
        <v>0.84927919610207925</v>
      </c>
      <c r="K943" s="3">
        <f t="shared" si="156"/>
        <v>1.1806524837663497</v>
      </c>
      <c r="L943" s="3">
        <f t="shared" si="157"/>
        <v>-2.0904252150107503</v>
      </c>
      <c r="M943" s="3">
        <f t="shared" si="158"/>
        <v>1.0897309817683822</v>
      </c>
      <c r="N943" s="3">
        <f t="shared" si="159"/>
        <v>-0.27394055586500432</v>
      </c>
      <c r="O943" s="3">
        <f t="shared" si="160"/>
        <v>-4.3043594454799862E-2</v>
      </c>
      <c r="P943" s="3">
        <f t="shared" si="161"/>
        <v>0.48924076251736121</v>
      </c>
      <c r="Q943" s="3">
        <f t="shared" si="162"/>
        <v>-0.71490055378892725</v>
      </c>
      <c r="R943" s="3">
        <f t="shared" si="164"/>
        <v>0.51075923748263885</v>
      </c>
    </row>
    <row r="944" spans="1:18" x14ac:dyDescent="0.3">
      <c r="A944" s="2">
        <v>940</v>
      </c>
      <c r="B944" s="2">
        <v>1</v>
      </c>
      <c r="C944" s="2">
        <v>26</v>
      </c>
      <c r="D944" s="2">
        <f t="shared" si="163"/>
        <v>676</v>
      </c>
      <c r="E944" s="2">
        <v>71.957800000000006</v>
      </c>
      <c r="F944" s="2">
        <v>194.1283</v>
      </c>
      <c r="G944" s="2">
        <v>0.34124399999999999</v>
      </c>
      <c r="H944" s="2">
        <v>6</v>
      </c>
      <c r="I944" s="3">
        <f t="shared" si="154"/>
        <v>-0.34121611419281822</v>
      </c>
      <c r="J944" s="3">
        <f t="shared" si="155"/>
        <v>-0.43952936445219321</v>
      </c>
      <c r="K944" s="3">
        <f t="shared" si="156"/>
        <v>-0.28673401088987227</v>
      </c>
      <c r="L944" s="3">
        <f t="shared" si="157"/>
        <v>1.4538849513273313</v>
      </c>
      <c r="M944" s="3">
        <f t="shared" si="158"/>
        <v>-0.521670789474176</v>
      </c>
      <c r="N944" s="3">
        <f t="shared" si="159"/>
        <v>1.4896252544247224</v>
      </c>
      <c r="O944" s="3">
        <f t="shared" si="160"/>
        <v>6.7383476227532935E-2</v>
      </c>
      <c r="P944" s="3">
        <f t="shared" si="161"/>
        <v>0.51683949784788996</v>
      </c>
      <c r="Q944" s="3">
        <f t="shared" si="162"/>
        <v>-0.66002290170994937</v>
      </c>
      <c r="R944" s="3">
        <f t="shared" si="164"/>
        <v>0.48316050215211004</v>
      </c>
    </row>
    <row r="945" spans="1:18" x14ac:dyDescent="0.3">
      <c r="A945" s="2">
        <v>941</v>
      </c>
      <c r="B945" s="2">
        <v>0</v>
      </c>
      <c r="C945" s="2">
        <v>28</v>
      </c>
      <c r="D945" s="2">
        <f t="shared" si="163"/>
        <v>784</v>
      </c>
      <c r="E945" s="2">
        <v>86.986400000000003</v>
      </c>
      <c r="F945" s="2">
        <v>193.417</v>
      </c>
      <c r="G945" s="2">
        <v>0.44418299999999999</v>
      </c>
      <c r="H945" s="2">
        <v>2</v>
      </c>
      <c r="I945" s="3">
        <f t="shared" si="154"/>
        <v>-3.5329862114989473E-2</v>
      </c>
      <c r="J945" s="3">
        <f t="shared" si="155"/>
        <v>-0.14954743832748191</v>
      </c>
      <c r="K945" s="3">
        <f t="shared" si="156"/>
        <v>1.2324385519250662</v>
      </c>
      <c r="L945" s="3">
        <f t="shared" si="157"/>
        <v>1.3819559647736026</v>
      </c>
      <c r="M945" s="3">
        <f t="shared" si="158"/>
        <v>-0.16197609279768396</v>
      </c>
      <c r="N945" s="3">
        <f t="shared" si="159"/>
        <v>-0.86179582596158</v>
      </c>
      <c r="O945" s="3">
        <f t="shared" si="160"/>
        <v>0.14991493565022113</v>
      </c>
      <c r="P945" s="3">
        <f t="shared" si="161"/>
        <v>0.53740869836357275</v>
      </c>
      <c r="Q945" s="3">
        <f t="shared" si="162"/>
        <v>-0.77091133256861222</v>
      </c>
      <c r="R945" s="3">
        <f t="shared" si="164"/>
        <v>-0.53740869836357275</v>
      </c>
    </row>
    <row r="946" spans="1:18" x14ac:dyDescent="0.3">
      <c r="A946" s="2">
        <v>942</v>
      </c>
      <c r="B946" s="2">
        <v>1</v>
      </c>
      <c r="C946" s="2">
        <v>32</v>
      </c>
      <c r="D946" s="2">
        <f t="shared" si="163"/>
        <v>1024</v>
      </c>
      <c r="E946" s="2">
        <v>55.626399999999997</v>
      </c>
      <c r="F946" s="2">
        <v>156.6935</v>
      </c>
      <c r="G946" s="2">
        <v>0.67558700000000005</v>
      </c>
      <c r="H946" s="2">
        <v>4</v>
      </c>
      <c r="I946" s="3">
        <f t="shared" si="154"/>
        <v>0.57644264204066809</v>
      </c>
      <c r="J946" s="3">
        <f t="shared" si="155"/>
        <v>0.49485684194965435</v>
      </c>
      <c r="K946" s="3">
        <f t="shared" si="156"/>
        <v>-1.9376006779350998</v>
      </c>
      <c r="L946" s="3">
        <f t="shared" si="157"/>
        <v>-2.3316446787043619</v>
      </c>
      <c r="M946" s="3">
        <f t="shared" si="158"/>
        <v>0.64660754984239399</v>
      </c>
      <c r="N946" s="3">
        <f t="shared" si="159"/>
        <v>0.31391471423157125</v>
      </c>
      <c r="O946" s="3">
        <f t="shared" si="160"/>
        <v>-0.23503607778292787</v>
      </c>
      <c r="P946" s="3">
        <f t="shared" si="161"/>
        <v>0.44150999152235632</v>
      </c>
      <c r="Q946" s="3">
        <f t="shared" si="162"/>
        <v>-0.81755462833948211</v>
      </c>
      <c r="R946" s="3">
        <f t="shared" si="164"/>
        <v>0.55849000847764363</v>
      </c>
    </row>
    <row r="947" spans="1:18" x14ac:dyDescent="0.3">
      <c r="A947" s="2">
        <v>943</v>
      </c>
      <c r="B947" s="2">
        <v>0</v>
      </c>
      <c r="C947" s="2">
        <v>23</v>
      </c>
      <c r="D947" s="2">
        <f t="shared" si="163"/>
        <v>529</v>
      </c>
      <c r="E947" s="2">
        <v>62.466500000000003</v>
      </c>
      <c r="F947" s="2">
        <v>190.85929999999999</v>
      </c>
      <c r="G947" s="2">
        <v>0.50889399999999996</v>
      </c>
      <c r="H947" s="2">
        <v>6</v>
      </c>
      <c r="I947" s="3">
        <f t="shared" si="154"/>
        <v>-0.80004549230956135</v>
      </c>
      <c r="J947" s="3">
        <f t="shared" si="155"/>
        <v>-0.83422698612193913</v>
      </c>
      <c r="K947" s="3">
        <f t="shared" si="156"/>
        <v>-1.2461661965522381</v>
      </c>
      <c r="L947" s="3">
        <f t="shared" si="157"/>
        <v>1.1233129605440593</v>
      </c>
      <c r="M947" s="3">
        <f t="shared" si="158"/>
        <v>6.4140379255011939E-2</v>
      </c>
      <c r="N947" s="3">
        <f t="shared" si="159"/>
        <v>1.4896252544247224</v>
      </c>
      <c r="O947" s="3">
        <f t="shared" si="160"/>
        <v>3.7214899007071117E-2</v>
      </c>
      <c r="P947" s="3">
        <f t="shared" si="161"/>
        <v>0.50930265113532658</v>
      </c>
      <c r="Q947" s="3">
        <f t="shared" si="162"/>
        <v>-0.71192773866290116</v>
      </c>
      <c r="R947" s="3">
        <f t="shared" si="164"/>
        <v>-0.50930265113532658</v>
      </c>
    </row>
    <row r="948" spans="1:18" x14ac:dyDescent="0.3">
      <c r="A948" s="2">
        <v>944</v>
      </c>
      <c r="B948" s="2">
        <v>1</v>
      </c>
      <c r="C948" s="2">
        <v>20</v>
      </c>
      <c r="D948" s="2">
        <f t="shared" si="163"/>
        <v>400</v>
      </c>
      <c r="E948" s="2">
        <v>78.486400000000003</v>
      </c>
      <c r="F948" s="2">
        <v>190.5522</v>
      </c>
      <c r="G948" s="2">
        <v>0.86144600000000005</v>
      </c>
      <c r="H948" s="2">
        <v>6</v>
      </c>
      <c r="I948" s="3">
        <f t="shared" si="154"/>
        <v>-1.2588748704263044</v>
      </c>
      <c r="J948" s="3">
        <f t="shared" si="155"/>
        <v>-1.1805942867708998</v>
      </c>
      <c r="K948" s="3">
        <f t="shared" si="156"/>
        <v>0.37321235760710053</v>
      </c>
      <c r="L948" s="3">
        <f t="shared" si="157"/>
        <v>1.0922580023398563</v>
      </c>
      <c r="M948" s="3">
        <f t="shared" si="158"/>
        <v>1.2960455337901313</v>
      </c>
      <c r="N948" s="3">
        <f t="shared" si="159"/>
        <v>1.4896252544247224</v>
      </c>
      <c r="O948" s="3">
        <f t="shared" si="160"/>
        <v>0.17472334957706881</v>
      </c>
      <c r="P948" s="3">
        <f t="shared" si="161"/>
        <v>0.54357005063824715</v>
      </c>
      <c r="Q948" s="3">
        <f t="shared" si="162"/>
        <v>-0.60959669270736594</v>
      </c>
      <c r="R948" s="3">
        <f t="shared" si="164"/>
        <v>0.45642994936175285</v>
      </c>
    </row>
    <row r="949" spans="1:18" x14ac:dyDescent="0.3">
      <c r="A949" s="2">
        <v>945</v>
      </c>
      <c r="B949" s="2">
        <v>0</v>
      </c>
      <c r="C949" s="2">
        <v>34</v>
      </c>
      <c r="D949" s="2">
        <f t="shared" si="163"/>
        <v>1156</v>
      </c>
      <c r="E949" s="2">
        <v>60.891800000000003</v>
      </c>
      <c r="F949" s="2">
        <v>180.00450000000001</v>
      </c>
      <c r="G949" s="2">
        <v>0.86603600000000003</v>
      </c>
      <c r="H949" s="2">
        <v>2</v>
      </c>
      <c r="I949" s="3">
        <f t="shared" si="154"/>
        <v>0.8823288941184968</v>
      </c>
      <c r="J949" s="3">
        <f t="shared" si="155"/>
        <v>0.84927919610207925</v>
      </c>
      <c r="K949" s="3">
        <f t="shared" si="156"/>
        <v>-1.4053454304572384</v>
      </c>
      <c r="L949" s="3">
        <f t="shared" si="157"/>
        <v>2.5640019108070216E-2</v>
      </c>
      <c r="M949" s="3">
        <f t="shared" si="158"/>
        <v>1.312084145567447</v>
      </c>
      <c r="N949" s="3">
        <f t="shared" si="159"/>
        <v>-0.86179582596158</v>
      </c>
      <c r="O949" s="3">
        <f t="shared" si="160"/>
        <v>-0.16478423547023899</v>
      </c>
      <c r="P949" s="3">
        <f t="shared" si="161"/>
        <v>0.45889690798041666</v>
      </c>
      <c r="Q949" s="3">
        <f t="shared" si="162"/>
        <v>-0.61414546002786807</v>
      </c>
      <c r="R949" s="3">
        <f t="shared" si="164"/>
        <v>-0.45889690798041666</v>
      </c>
    </row>
    <row r="950" spans="1:18" x14ac:dyDescent="0.3">
      <c r="A950" s="2">
        <v>946</v>
      </c>
      <c r="B950" s="2">
        <v>0</v>
      </c>
      <c r="C950" s="2">
        <v>22</v>
      </c>
      <c r="D950" s="2">
        <f t="shared" si="163"/>
        <v>484</v>
      </c>
      <c r="E950" s="2">
        <v>63.255299999999998</v>
      </c>
      <c r="F950" s="2">
        <v>167.0283</v>
      </c>
      <c r="G950" s="2">
        <v>9.9109999999999997E-3</v>
      </c>
      <c r="H950" s="2">
        <v>5</v>
      </c>
      <c r="I950" s="3">
        <f t="shared" si="154"/>
        <v>-0.9529886183484757</v>
      </c>
      <c r="J950" s="3">
        <f t="shared" si="155"/>
        <v>-0.9550527886739022</v>
      </c>
      <c r="K950" s="3">
        <f t="shared" si="156"/>
        <v>-1.1664300057195316</v>
      </c>
      <c r="L950" s="3">
        <f t="shared" si="157"/>
        <v>-1.286555841033223</v>
      </c>
      <c r="M950" s="3">
        <f t="shared" si="158"/>
        <v>-1.6794314334857958</v>
      </c>
      <c r="N950" s="3">
        <f t="shared" si="159"/>
        <v>0.90176998432814681</v>
      </c>
      <c r="O950" s="3">
        <f t="shared" si="160"/>
        <v>9.4899712841292866E-2</v>
      </c>
      <c r="P950" s="3">
        <f t="shared" si="161"/>
        <v>0.52370713876061403</v>
      </c>
      <c r="Q950" s="3">
        <f t="shared" si="162"/>
        <v>-0.7417223592377038</v>
      </c>
      <c r="R950" s="3">
        <f t="shared" si="164"/>
        <v>-0.52370713876061403</v>
      </c>
    </row>
    <row r="951" spans="1:18" x14ac:dyDescent="0.3">
      <c r="A951" s="2">
        <v>947</v>
      </c>
      <c r="B951" s="2">
        <v>0</v>
      </c>
      <c r="C951" s="2">
        <v>29</v>
      </c>
      <c r="D951" s="2">
        <f t="shared" si="163"/>
        <v>841</v>
      </c>
      <c r="E951" s="2">
        <v>69.722200000000001</v>
      </c>
      <c r="F951" s="2">
        <v>190.1523</v>
      </c>
      <c r="G951" s="2">
        <v>0.77804600000000002</v>
      </c>
      <c r="H951" s="2">
        <v>2</v>
      </c>
      <c r="I951" s="3">
        <f t="shared" si="154"/>
        <v>0.1176132639239249</v>
      </c>
      <c r="J951" s="3">
        <f t="shared" si="155"/>
        <v>3.4985782383379449E-3</v>
      </c>
      <c r="K951" s="3">
        <f t="shared" si="156"/>
        <v>-0.5127206085389604</v>
      </c>
      <c r="L951" s="3">
        <f t="shared" si="157"/>
        <v>1.0518188040791554</v>
      </c>
      <c r="M951" s="3">
        <f t="shared" si="158"/>
        <v>1.0046250060715849</v>
      </c>
      <c r="N951" s="3">
        <f t="shared" si="159"/>
        <v>-0.86179582596158</v>
      </c>
      <c r="O951" s="3">
        <f t="shared" si="160"/>
        <v>-3.4990053281870721E-2</v>
      </c>
      <c r="P951" s="3">
        <f t="shared" si="161"/>
        <v>0.49125337903811817</v>
      </c>
      <c r="Q951" s="3">
        <f t="shared" si="162"/>
        <v>-0.67580518409135637</v>
      </c>
      <c r="R951" s="3">
        <f t="shared" si="164"/>
        <v>-0.49125337903811817</v>
      </c>
    </row>
    <row r="952" spans="1:18" x14ac:dyDescent="0.3">
      <c r="A952" s="2">
        <v>948</v>
      </c>
      <c r="B952" s="2">
        <v>1</v>
      </c>
      <c r="C952" s="2">
        <v>35</v>
      </c>
      <c r="D952" s="2">
        <f t="shared" si="163"/>
        <v>1225</v>
      </c>
      <c r="E952" s="2">
        <v>82.714399999999998</v>
      </c>
      <c r="F952" s="2">
        <v>177.58770000000001</v>
      </c>
      <c r="G952" s="2">
        <v>0.46073399999999998</v>
      </c>
      <c r="H952" s="2">
        <v>3</v>
      </c>
      <c r="I952" s="3">
        <f t="shared" si="154"/>
        <v>1.0352720201574113</v>
      </c>
      <c r="J952" s="3">
        <f t="shared" si="155"/>
        <v>1.034545426681756</v>
      </c>
      <c r="K952" s="3">
        <f t="shared" si="156"/>
        <v>0.80060157520431874</v>
      </c>
      <c r="L952" s="3">
        <f t="shared" si="157"/>
        <v>-0.21875471546672592</v>
      </c>
      <c r="M952" s="3">
        <f t="shared" si="158"/>
        <v>-0.10414274562418692</v>
      </c>
      <c r="N952" s="3">
        <f t="shared" si="159"/>
        <v>-0.27394055586500432</v>
      </c>
      <c r="O952" s="3">
        <f t="shared" si="160"/>
        <v>2.5655620261887484E-2</v>
      </c>
      <c r="P952" s="3">
        <f t="shared" si="161"/>
        <v>0.50641355328013415</v>
      </c>
      <c r="Q952" s="3">
        <f t="shared" si="162"/>
        <v>-0.68040164452901197</v>
      </c>
      <c r="R952" s="3">
        <f t="shared" si="164"/>
        <v>0.49358644671986585</v>
      </c>
    </row>
    <row r="953" spans="1:18" x14ac:dyDescent="0.3">
      <c r="A953" s="2">
        <v>949</v>
      </c>
      <c r="B953" s="2">
        <v>0</v>
      </c>
      <c r="C953" s="2">
        <v>31</v>
      </c>
      <c r="D953" s="2">
        <f t="shared" si="163"/>
        <v>961</v>
      </c>
      <c r="E953" s="2">
        <v>56.040399999999998</v>
      </c>
      <c r="F953" s="2">
        <v>185.4888</v>
      </c>
      <c r="G953" s="2">
        <v>0.98884099999999997</v>
      </c>
      <c r="H953" s="2">
        <v>3</v>
      </c>
      <c r="I953" s="3">
        <f t="shared" si="154"/>
        <v>0.42349951600175367</v>
      </c>
      <c r="J953" s="3">
        <f t="shared" si="155"/>
        <v>0.32570071837690606</v>
      </c>
      <c r="K953" s="3">
        <f t="shared" si="156"/>
        <v>-1.8957513080000834</v>
      </c>
      <c r="L953" s="3">
        <f t="shared" si="157"/>
        <v>0.58023040425725714</v>
      </c>
      <c r="M953" s="3">
        <f t="shared" si="158"/>
        <v>1.7411956312566084</v>
      </c>
      <c r="N953" s="3">
        <f t="shared" si="159"/>
        <v>-0.27394055586500432</v>
      </c>
      <c r="O953" s="3">
        <f t="shared" si="160"/>
        <v>-0.19623827961930282</v>
      </c>
      <c r="P953" s="3">
        <f t="shared" si="161"/>
        <v>0.45109726430125624</v>
      </c>
      <c r="Q953" s="3">
        <f t="shared" si="162"/>
        <v>-0.59983401947306636</v>
      </c>
      <c r="R953" s="3">
        <f t="shared" si="164"/>
        <v>-0.45109726430125624</v>
      </c>
    </row>
    <row r="954" spans="1:18" x14ac:dyDescent="0.3">
      <c r="A954" s="2">
        <v>950</v>
      </c>
      <c r="B954" s="2">
        <v>1</v>
      </c>
      <c r="C954" s="2">
        <v>38</v>
      </c>
      <c r="D954" s="2">
        <f t="shared" si="163"/>
        <v>1444</v>
      </c>
      <c r="E954" s="2">
        <v>76.703000000000003</v>
      </c>
      <c r="F954" s="2">
        <v>202.19200000000001</v>
      </c>
      <c r="G954" s="2">
        <v>0.48323199999999999</v>
      </c>
      <c r="H954" s="2">
        <v>6</v>
      </c>
      <c r="I954" s="3">
        <f t="shared" si="154"/>
        <v>1.4941013982741542</v>
      </c>
      <c r="J954" s="3">
        <f t="shared" si="155"/>
        <v>1.6225643324346428</v>
      </c>
      <c r="K954" s="3">
        <f t="shared" si="156"/>
        <v>0.19293659349572873</v>
      </c>
      <c r="L954" s="3">
        <f t="shared" si="157"/>
        <v>2.26931271580548</v>
      </c>
      <c r="M954" s="3">
        <f t="shared" si="158"/>
        <v>-2.5529088158816896E-2</v>
      </c>
      <c r="N954" s="3">
        <f t="shared" si="159"/>
        <v>1.4896252544247224</v>
      </c>
      <c r="O954" s="3">
        <f t="shared" si="160"/>
        <v>2.6784187722008735E-2</v>
      </c>
      <c r="P954" s="3">
        <f t="shared" si="161"/>
        <v>0.50669564665127897</v>
      </c>
      <c r="Q954" s="3">
        <f t="shared" si="162"/>
        <v>-0.67984475810757938</v>
      </c>
      <c r="R954" s="3">
        <f t="shared" si="164"/>
        <v>0.49330435334872103</v>
      </c>
    </row>
    <row r="955" spans="1:18" x14ac:dyDescent="0.3">
      <c r="A955" s="2">
        <v>951</v>
      </c>
      <c r="B955" s="2">
        <v>0</v>
      </c>
      <c r="C955" s="2">
        <v>28</v>
      </c>
      <c r="D955" s="2">
        <f t="shared" si="163"/>
        <v>784</v>
      </c>
      <c r="E955" s="2">
        <v>85.329599999999999</v>
      </c>
      <c r="F955" s="2">
        <v>182.51840000000001</v>
      </c>
      <c r="G955" s="2">
        <v>0.986896</v>
      </c>
      <c r="H955" s="2">
        <v>6</v>
      </c>
      <c r="I955" s="3">
        <f t="shared" si="154"/>
        <v>-3.5329862114989473E-2</v>
      </c>
      <c r="J955" s="3">
        <f t="shared" si="155"/>
        <v>-0.14954743832748191</v>
      </c>
      <c r="K955" s="3">
        <f t="shared" si="156"/>
        <v>1.0649602038373005</v>
      </c>
      <c r="L955" s="3">
        <f t="shared" si="157"/>
        <v>0.27985382382818891</v>
      </c>
      <c r="M955" s="3">
        <f t="shared" si="158"/>
        <v>1.7343993131941076</v>
      </c>
      <c r="N955" s="3">
        <f t="shared" si="159"/>
        <v>1.4896252544247224</v>
      </c>
      <c r="O955" s="3">
        <f t="shared" si="160"/>
        <v>3.7574289895696278E-6</v>
      </c>
      <c r="P955" s="3">
        <f t="shared" si="161"/>
        <v>0.50000093935724743</v>
      </c>
      <c r="Q955" s="3">
        <f t="shared" si="162"/>
        <v>-0.69314905927620496</v>
      </c>
      <c r="R955" s="3">
        <f t="shared" si="164"/>
        <v>-0.50000093935724743</v>
      </c>
    </row>
    <row r="956" spans="1:18" x14ac:dyDescent="0.3">
      <c r="A956" s="2">
        <v>952</v>
      </c>
      <c r="B956" s="2">
        <v>0</v>
      </c>
      <c r="C956" s="2">
        <v>26</v>
      </c>
      <c r="D956" s="2">
        <f t="shared" si="163"/>
        <v>676</v>
      </c>
      <c r="E956" s="2">
        <v>73.0505</v>
      </c>
      <c r="F956" s="2">
        <v>170.8312</v>
      </c>
      <c r="G956" s="2">
        <v>0.75456900000000005</v>
      </c>
      <c r="H956" s="2">
        <v>2</v>
      </c>
      <c r="I956" s="3">
        <f t="shared" si="154"/>
        <v>-0.34121611419281822</v>
      </c>
      <c r="J956" s="3">
        <f t="shared" si="155"/>
        <v>-0.43952936445219321</v>
      </c>
      <c r="K956" s="3">
        <f t="shared" si="156"/>
        <v>-0.17627795647443281</v>
      </c>
      <c r="L956" s="3">
        <f t="shared" si="157"/>
        <v>-0.90199413294215525</v>
      </c>
      <c r="M956" s="3">
        <f t="shared" si="158"/>
        <v>0.9225904769439075</v>
      </c>
      <c r="N956" s="3">
        <f t="shared" si="159"/>
        <v>-0.86179582596158</v>
      </c>
      <c r="O956" s="3">
        <f t="shared" si="160"/>
        <v>-8.5730928335533401E-3</v>
      </c>
      <c r="P956" s="3">
        <f t="shared" si="161"/>
        <v>0.49785673991869223</v>
      </c>
      <c r="Q956" s="3">
        <f t="shared" si="162"/>
        <v>-0.6888698213551252</v>
      </c>
      <c r="R956" s="3">
        <f t="shared" si="164"/>
        <v>-0.49785673991869223</v>
      </c>
    </row>
    <row r="957" spans="1:18" x14ac:dyDescent="0.3">
      <c r="A957" s="2">
        <v>953</v>
      </c>
      <c r="B957" s="2">
        <v>0</v>
      </c>
      <c r="C957" s="2">
        <v>19</v>
      </c>
      <c r="D957" s="2">
        <f t="shared" si="163"/>
        <v>361</v>
      </c>
      <c r="E957" s="2">
        <v>71.311700000000002</v>
      </c>
      <c r="F957" s="2">
        <v>176.64269999999999</v>
      </c>
      <c r="G957" s="2">
        <v>0.24860499999999999</v>
      </c>
      <c r="H957" s="2">
        <v>3</v>
      </c>
      <c r="I957" s="3">
        <f t="shared" si="154"/>
        <v>-1.4118179964652189</v>
      </c>
      <c r="J957" s="3">
        <f t="shared" si="155"/>
        <v>-1.2853099823159346</v>
      </c>
      <c r="K957" s="3">
        <f t="shared" si="156"/>
        <v>-0.35204531020150065</v>
      </c>
      <c r="L957" s="3">
        <f t="shared" si="157"/>
        <v>-0.31431621173169949</v>
      </c>
      <c r="M957" s="3">
        <f t="shared" si="158"/>
        <v>-0.84537470155233441</v>
      </c>
      <c r="N957" s="3">
        <f t="shared" si="159"/>
        <v>-0.27394055586500432</v>
      </c>
      <c r="O957" s="3">
        <f t="shared" si="160"/>
        <v>0.24256873687650937</v>
      </c>
      <c r="P957" s="3">
        <f t="shared" si="161"/>
        <v>0.56034657665819321</v>
      </c>
      <c r="Q957" s="3">
        <f t="shared" si="162"/>
        <v>-0.82176853667133287</v>
      </c>
      <c r="R957" s="3">
        <f t="shared" si="164"/>
        <v>-0.56034657665819321</v>
      </c>
    </row>
    <row r="958" spans="1:18" x14ac:dyDescent="0.3">
      <c r="A958" s="2">
        <v>954</v>
      </c>
      <c r="B958" s="2">
        <v>0</v>
      </c>
      <c r="C958" s="2">
        <v>29</v>
      </c>
      <c r="D958" s="2">
        <f t="shared" si="163"/>
        <v>841</v>
      </c>
      <c r="E958" s="2">
        <v>79.017700000000005</v>
      </c>
      <c r="F958" s="2">
        <v>172.10550000000001</v>
      </c>
      <c r="G958" s="2">
        <v>0.53839499999999996</v>
      </c>
      <c r="H958" s="2">
        <v>3</v>
      </c>
      <c r="I958" s="3">
        <f t="shared" si="154"/>
        <v>0.1176132639239249</v>
      </c>
      <c r="J958" s="3">
        <f t="shared" si="155"/>
        <v>3.4985782383379449E-3</v>
      </c>
      <c r="K958" s="3">
        <f t="shared" si="156"/>
        <v>0.42691904902370481</v>
      </c>
      <c r="L958" s="3">
        <f t="shared" si="157"/>
        <v>-0.77313274173532553</v>
      </c>
      <c r="M958" s="3">
        <f t="shared" si="158"/>
        <v>0.1672242759963169</v>
      </c>
      <c r="N958" s="3">
        <f t="shared" si="159"/>
        <v>-0.27394055586500432</v>
      </c>
      <c r="O958" s="3">
        <f t="shared" si="160"/>
        <v>1.1704581282366521E-2</v>
      </c>
      <c r="P958" s="3">
        <f t="shared" si="161"/>
        <v>0.50292611191490066</v>
      </c>
      <c r="Q958" s="3">
        <f t="shared" si="162"/>
        <v>-0.69901659575625263</v>
      </c>
      <c r="R958" s="3">
        <f t="shared" si="164"/>
        <v>-0.50292611191490066</v>
      </c>
    </row>
    <row r="959" spans="1:18" x14ac:dyDescent="0.3">
      <c r="A959" s="2">
        <v>955</v>
      </c>
      <c r="B959" s="2">
        <v>1</v>
      </c>
      <c r="C959" s="2">
        <v>20</v>
      </c>
      <c r="D959" s="2">
        <f t="shared" si="163"/>
        <v>400</v>
      </c>
      <c r="E959" s="2">
        <v>73.078900000000004</v>
      </c>
      <c r="F959" s="2">
        <v>184.3349</v>
      </c>
      <c r="G959" s="2">
        <v>0.99213600000000002</v>
      </c>
      <c r="H959" s="2">
        <v>5</v>
      </c>
      <c r="I959" s="3">
        <f t="shared" si="154"/>
        <v>-1.2588748704263044</v>
      </c>
      <c r="J959" s="3">
        <f t="shared" si="155"/>
        <v>-1.1805942867708998</v>
      </c>
      <c r="K959" s="3">
        <f t="shared" si="156"/>
        <v>-0.17340713013106404</v>
      </c>
      <c r="L959" s="3">
        <f t="shared" si="157"/>
        <v>0.46354425553752188</v>
      </c>
      <c r="M959" s="3">
        <f t="shared" si="158"/>
        <v>1.7527091880771433</v>
      </c>
      <c r="N959" s="3">
        <f t="shared" si="159"/>
        <v>0.90176998432814681</v>
      </c>
      <c r="O959" s="3">
        <f t="shared" si="160"/>
        <v>0.11310392457517976</v>
      </c>
      <c r="P959" s="3">
        <f t="shared" si="161"/>
        <v>0.52824587628606745</v>
      </c>
      <c r="Q959" s="3">
        <f t="shared" si="162"/>
        <v>-0.63819342888451003</v>
      </c>
      <c r="R959" s="3">
        <f t="shared" si="164"/>
        <v>0.47175412371393255</v>
      </c>
    </row>
    <row r="960" spans="1:18" x14ac:dyDescent="0.3">
      <c r="A960" s="2">
        <v>956</v>
      </c>
      <c r="B960" s="2">
        <v>0</v>
      </c>
      <c r="C960" s="2">
        <v>20</v>
      </c>
      <c r="D960" s="2">
        <f t="shared" si="163"/>
        <v>400</v>
      </c>
      <c r="E960" s="2">
        <v>88.905000000000001</v>
      </c>
      <c r="F960" s="2">
        <v>171.9393</v>
      </c>
      <c r="G960" s="2">
        <v>0.85753100000000004</v>
      </c>
      <c r="H960" s="2">
        <v>4</v>
      </c>
      <c r="I960" s="3">
        <f t="shared" si="154"/>
        <v>-1.2588748704263044</v>
      </c>
      <c r="J960" s="3">
        <f t="shared" si="155"/>
        <v>-1.1805942867708998</v>
      </c>
      <c r="K960" s="3">
        <f t="shared" si="156"/>
        <v>1.4263810667978247</v>
      </c>
      <c r="L960" s="3">
        <f t="shared" si="157"/>
        <v>-0.78993943028478431</v>
      </c>
      <c r="M960" s="3">
        <f t="shared" si="158"/>
        <v>1.2823655413918327</v>
      </c>
      <c r="N960" s="3">
        <f t="shared" si="159"/>
        <v>0.31391471423157125</v>
      </c>
      <c r="O960" s="3">
        <f t="shared" si="160"/>
        <v>0.2171176003044728</v>
      </c>
      <c r="P960" s="3">
        <f t="shared" si="161"/>
        <v>0.55406717264773198</v>
      </c>
      <c r="Q960" s="3">
        <f t="shared" si="162"/>
        <v>-0.80758694962288113</v>
      </c>
      <c r="R960" s="3">
        <f t="shared" si="164"/>
        <v>-0.55406717264773198</v>
      </c>
    </row>
    <row r="961" spans="1:18" x14ac:dyDescent="0.3">
      <c r="A961" s="2">
        <v>957</v>
      </c>
      <c r="B961" s="2">
        <v>0</v>
      </c>
      <c r="C961" s="2">
        <v>18</v>
      </c>
      <c r="D961" s="2">
        <f t="shared" si="163"/>
        <v>324</v>
      </c>
      <c r="E961" s="2">
        <v>63.885899999999999</v>
      </c>
      <c r="F961" s="2">
        <v>175.2715</v>
      </c>
      <c r="G961" s="2">
        <v>9.7366999999999995E-2</v>
      </c>
      <c r="H961" s="2">
        <v>5</v>
      </c>
      <c r="I961" s="3">
        <f t="shared" si="154"/>
        <v>-1.5647611225041334</v>
      </c>
      <c r="J961" s="3">
        <f t="shared" si="155"/>
        <v>-1.3846556421919931</v>
      </c>
      <c r="K961" s="3">
        <f t="shared" si="156"/>
        <v>-1.1026855306446008</v>
      </c>
      <c r="L961" s="3">
        <f t="shared" si="157"/>
        <v>-0.45297644842855406</v>
      </c>
      <c r="M961" s="3">
        <f t="shared" si="158"/>
        <v>-1.3738382239875564</v>
      </c>
      <c r="N961" s="3">
        <f t="shared" si="159"/>
        <v>0.90176998432814681</v>
      </c>
      <c r="O961" s="3">
        <f t="shared" si="160"/>
        <v>0.23072558017175121</v>
      </c>
      <c r="P961" s="3">
        <f t="shared" si="161"/>
        <v>0.55742686424182641</v>
      </c>
      <c r="Q961" s="3">
        <f t="shared" si="162"/>
        <v>-0.81514954964160269</v>
      </c>
      <c r="R961" s="3">
        <f t="shared" si="164"/>
        <v>-0.55742686424182641</v>
      </c>
    </row>
    <row r="962" spans="1:18" x14ac:dyDescent="0.3">
      <c r="A962" s="2">
        <v>958</v>
      </c>
      <c r="B962" s="2">
        <v>1</v>
      </c>
      <c r="C962" s="2">
        <v>25</v>
      </c>
      <c r="D962" s="2">
        <f t="shared" si="163"/>
        <v>625</v>
      </c>
      <c r="E962" s="2">
        <v>74.483599999999996</v>
      </c>
      <c r="F962" s="2">
        <v>167.1557</v>
      </c>
      <c r="G962" s="2">
        <v>0.706372</v>
      </c>
      <c r="H962" s="2">
        <v>1</v>
      </c>
      <c r="I962" s="3">
        <f t="shared" si="154"/>
        <v>-0.49415924023173263</v>
      </c>
      <c r="J962" s="3">
        <f t="shared" si="155"/>
        <v>-0.57646527401108472</v>
      </c>
      <c r="K962" s="3">
        <f t="shared" si="156"/>
        <v>-3.1412420112424178E-2</v>
      </c>
      <c r="L962" s="3">
        <f t="shared" si="157"/>
        <v>-1.2736727356108348</v>
      </c>
      <c r="M962" s="3">
        <f t="shared" si="158"/>
        <v>0.75417806478022897</v>
      </c>
      <c r="N962" s="3">
        <f t="shared" si="159"/>
        <v>-1.4496510960581555</v>
      </c>
      <c r="O962" s="3">
        <f t="shared" si="160"/>
        <v>2.7301995500698839E-2</v>
      </c>
      <c r="P962" s="3">
        <f t="shared" si="161"/>
        <v>0.50682507493012952</v>
      </c>
      <c r="Q962" s="3">
        <f t="shared" si="162"/>
        <v>-0.67958935478567761</v>
      </c>
      <c r="R962" s="3">
        <f t="shared" si="164"/>
        <v>0.49317492506987048</v>
      </c>
    </row>
    <row r="963" spans="1:18" x14ac:dyDescent="0.3">
      <c r="A963" s="2">
        <v>959</v>
      </c>
      <c r="B963" s="2">
        <v>0</v>
      </c>
      <c r="C963" s="2">
        <v>39</v>
      </c>
      <c r="D963" s="2">
        <f t="shared" si="163"/>
        <v>1521</v>
      </c>
      <c r="E963" s="2">
        <v>77.056899999999999</v>
      </c>
      <c r="F963" s="2">
        <v>178.67910000000001</v>
      </c>
      <c r="G963" s="2">
        <v>0.34558</v>
      </c>
      <c r="H963" s="2">
        <v>5</v>
      </c>
      <c r="I963" s="3">
        <f t="shared" si="154"/>
        <v>1.6470445243130687</v>
      </c>
      <c r="J963" s="3">
        <f t="shared" si="155"/>
        <v>1.829310705690224</v>
      </c>
      <c r="K963" s="3">
        <f t="shared" si="156"/>
        <v>0.22871072880974336</v>
      </c>
      <c r="L963" s="3">
        <f t="shared" si="157"/>
        <v>-0.10838877152641999</v>
      </c>
      <c r="M963" s="3">
        <f t="shared" si="158"/>
        <v>-0.50651971743355706</v>
      </c>
      <c r="N963" s="3">
        <f t="shared" si="159"/>
        <v>0.90176998432814681</v>
      </c>
      <c r="O963" s="3">
        <f t="shared" si="160"/>
        <v>1.0652160275505619E-2</v>
      </c>
      <c r="P963" s="3">
        <f t="shared" si="161"/>
        <v>0.50266301488822784</v>
      </c>
      <c r="Q963" s="3">
        <f t="shared" si="162"/>
        <v>-0.69848744419545772</v>
      </c>
      <c r="R963" s="3">
        <f t="shared" si="164"/>
        <v>-0.50266301488822784</v>
      </c>
    </row>
    <row r="964" spans="1:18" x14ac:dyDescent="0.3">
      <c r="A964" s="2">
        <v>960</v>
      </c>
      <c r="B964" s="2">
        <v>0</v>
      </c>
      <c r="C964" s="2">
        <v>25</v>
      </c>
      <c r="D964" s="2">
        <f t="shared" si="163"/>
        <v>625</v>
      </c>
      <c r="E964" s="2">
        <v>71.215500000000006</v>
      </c>
      <c r="F964" s="2">
        <v>181.76750000000001</v>
      </c>
      <c r="G964" s="2">
        <v>6.9820000000000004E-3</v>
      </c>
      <c r="H964" s="2">
        <v>2</v>
      </c>
      <c r="I964" s="3">
        <f t="shared" si="154"/>
        <v>-0.49415924023173263</v>
      </c>
      <c r="J964" s="3">
        <f t="shared" si="155"/>
        <v>-0.57646527401108472</v>
      </c>
      <c r="K964" s="3">
        <f t="shared" si="156"/>
        <v>-0.36176972901248711</v>
      </c>
      <c r="L964" s="3">
        <f t="shared" si="157"/>
        <v>0.20392035552621313</v>
      </c>
      <c r="M964" s="3">
        <f t="shared" si="158"/>
        <v>-1.6896660944652639</v>
      </c>
      <c r="N964" s="3">
        <f t="shared" si="159"/>
        <v>-0.86179582596158</v>
      </c>
      <c r="O964" s="3">
        <f t="shared" si="160"/>
        <v>0.13555966490253607</v>
      </c>
      <c r="P964" s="3">
        <f t="shared" si="161"/>
        <v>0.53383811346620313</v>
      </c>
      <c r="Q964" s="3">
        <f t="shared" si="162"/>
        <v>-0.76322230918923628</v>
      </c>
      <c r="R964" s="3">
        <f t="shared" si="164"/>
        <v>-0.53383811346620313</v>
      </c>
    </row>
    <row r="965" spans="1:18" x14ac:dyDescent="0.3">
      <c r="A965" s="2">
        <v>961</v>
      </c>
      <c r="B965" s="2">
        <v>0</v>
      </c>
      <c r="C965" s="2">
        <v>28</v>
      </c>
      <c r="D965" s="2">
        <f t="shared" si="163"/>
        <v>784</v>
      </c>
      <c r="E965" s="2">
        <v>46.287199999999999</v>
      </c>
      <c r="F965" s="2">
        <v>153.15209999999999</v>
      </c>
      <c r="G965" s="2">
        <v>0.40348099999999998</v>
      </c>
      <c r="H965" s="2">
        <v>4</v>
      </c>
      <c r="I965" s="3">
        <f t="shared" ref="I965:I1004" si="165">(C965-$V$3)/$W$3</f>
        <v>-3.5329862114989473E-2</v>
      </c>
      <c r="J965" s="3">
        <f t="shared" ref="J965:J1004" si="166" xml:space="preserve"> (D965- $V$8)/$W$8</f>
        <v>-0.14954743832748191</v>
      </c>
      <c r="K965" s="3">
        <f t="shared" ref="K965:K1004" si="167">(E965-$V$4)/$W$4</f>
        <v>-2.8816577689909049</v>
      </c>
      <c r="L965" s="3">
        <f t="shared" ref="L965:L1004" si="168">(F965-$V$5)/$W$5</f>
        <v>-2.6897626499982992</v>
      </c>
      <c r="M965" s="3">
        <f t="shared" ref="M965:M1004" si="169">(G965-$V$6)/$W$6</f>
        <v>-0.30419909422694386</v>
      </c>
      <c r="N965" s="3">
        <f t="shared" ref="N965:N1004" si="170">(H965-$V$7)/$W$7</f>
        <v>0.31391471423157125</v>
      </c>
      <c r="O965" s="3">
        <f t="shared" ref="O965:O1004" si="171">$V$11+$V$12*I965+$V$17*J965+$V$13*K965+$V$14*L965+$V$15*M965+$V$16*N965</f>
        <v>-0.22452712180789591</v>
      </c>
      <c r="P965" s="3">
        <f t="shared" ref="P965:P1004" si="172">1/(1+EXP(-O965))</f>
        <v>0.44410284841160502</v>
      </c>
      <c r="Q965" s="3">
        <f t="shared" ref="Q965:Q1004" si="173">B965*LN(P965)+(1-B965)*LN(1-P965)</f>
        <v>-0.587171980999872</v>
      </c>
      <c r="R965" s="3">
        <f t="shared" si="164"/>
        <v>-0.44410284841160502</v>
      </c>
    </row>
    <row r="966" spans="1:18" x14ac:dyDescent="0.3">
      <c r="A966" s="2">
        <v>962</v>
      </c>
      <c r="B966" s="2">
        <v>0</v>
      </c>
      <c r="C966" s="2">
        <v>26</v>
      </c>
      <c r="D966" s="2">
        <f t="shared" ref="D966:D1004" si="174">C966^2</f>
        <v>676</v>
      </c>
      <c r="E966" s="2">
        <v>73.391000000000005</v>
      </c>
      <c r="F966" s="2">
        <v>182.59569999999999</v>
      </c>
      <c r="G966" s="2">
        <v>0.23475399999999999</v>
      </c>
      <c r="H966" s="2">
        <v>2</v>
      </c>
      <c r="I966" s="3">
        <f t="shared" si="165"/>
        <v>-0.34121611419281822</v>
      </c>
      <c r="J966" s="3">
        <f t="shared" si="166"/>
        <v>-0.43952936445219321</v>
      </c>
      <c r="K966" s="3">
        <f t="shared" si="167"/>
        <v>-0.14185836598440077</v>
      </c>
      <c r="L966" s="3">
        <f t="shared" si="168"/>
        <v>0.28767065309938505</v>
      </c>
      <c r="M966" s="3">
        <f t="shared" si="169"/>
        <v>-0.89377357120976364</v>
      </c>
      <c r="N966" s="3">
        <f t="shared" si="170"/>
        <v>-0.86179582596158</v>
      </c>
      <c r="O966" s="3">
        <f t="shared" si="171"/>
        <v>9.845438537233725E-2</v>
      </c>
      <c r="P966" s="3">
        <f t="shared" si="172"/>
        <v>0.52459373341847781</v>
      </c>
      <c r="Q966" s="3">
        <f t="shared" si="173"/>
        <v>-0.74358554244009811</v>
      </c>
      <c r="R966" s="3">
        <f t="shared" ref="R966:R1004" si="175">B966-P966</f>
        <v>-0.52459373341847781</v>
      </c>
    </row>
    <row r="967" spans="1:18" x14ac:dyDescent="0.3">
      <c r="A967" s="2">
        <v>963</v>
      </c>
      <c r="B967" s="2">
        <v>1</v>
      </c>
      <c r="C967" s="2">
        <v>22</v>
      </c>
      <c r="D967" s="2">
        <f t="shared" si="174"/>
        <v>484</v>
      </c>
      <c r="E967" s="2">
        <v>84.001800000000003</v>
      </c>
      <c r="F967" s="2">
        <v>179.54300000000001</v>
      </c>
      <c r="G967" s="2">
        <v>0.81886899999999996</v>
      </c>
      <c r="H967" s="2">
        <v>1</v>
      </c>
      <c r="I967" s="3">
        <f t="shared" si="165"/>
        <v>-0.9529886183484757</v>
      </c>
      <c r="J967" s="3">
        <f t="shared" si="166"/>
        <v>-0.9550527886739022</v>
      </c>
      <c r="K967" s="3">
        <f t="shared" si="167"/>
        <v>0.93073896374137211</v>
      </c>
      <c r="L967" s="3">
        <f t="shared" si="168"/>
        <v>-2.1028372983236003E-2</v>
      </c>
      <c r="M967" s="3">
        <f t="shared" si="169"/>
        <v>1.1472708118636017</v>
      </c>
      <c r="N967" s="3">
        <f t="shared" si="170"/>
        <v>-1.4496510960581555</v>
      </c>
      <c r="O967" s="3">
        <f t="shared" si="171"/>
        <v>0.17437414713306121</v>
      </c>
      <c r="P967" s="3">
        <f t="shared" si="172"/>
        <v>0.54348341161815261</v>
      </c>
      <c r="Q967" s="3">
        <f t="shared" si="173"/>
        <v>-0.60975609428840349</v>
      </c>
      <c r="R967" s="3">
        <f t="shared" si="175"/>
        <v>0.45651658838184739</v>
      </c>
    </row>
    <row r="968" spans="1:18" x14ac:dyDescent="0.3">
      <c r="A968" s="2">
        <v>964</v>
      </c>
      <c r="B968" s="2">
        <v>1</v>
      </c>
      <c r="C968" s="2">
        <v>31</v>
      </c>
      <c r="D968" s="2">
        <f t="shared" si="174"/>
        <v>961</v>
      </c>
      <c r="E968" s="2">
        <v>82.781099999999995</v>
      </c>
      <c r="F968" s="2">
        <v>172.3501</v>
      </c>
      <c r="G968" s="2">
        <v>0.33733099999999999</v>
      </c>
      <c r="H968" s="2">
        <v>4</v>
      </c>
      <c r="I968" s="3">
        <f t="shared" si="165"/>
        <v>0.42349951600175367</v>
      </c>
      <c r="J968" s="3">
        <f t="shared" si="166"/>
        <v>0.32570071837690606</v>
      </c>
      <c r="K968" s="3">
        <f t="shared" si="167"/>
        <v>0.8073439736938488</v>
      </c>
      <c r="L968" s="3">
        <f t="shared" si="168"/>
        <v>-0.74839798831055182</v>
      </c>
      <c r="M968" s="3">
        <f t="shared" si="169"/>
        <v>-0.535343793370611</v>
      </c>
      <c r="N968" s="3">
        <f t="shared" si="170"/>
        <v>0.31391471423157125</v>
      </c>
      <c r="O968" s="3">
        <f t="shared" si="171"/>
        <v>3.8734622144531189E-2</v>
      </c>
      <c r="P968" s="3">
        <f t="shared" si="172"/>
        <v>0.50968244496147341</v>
      </c>
      <c r="Q968" s="3">
        <f t="shared" si="173"/>
        <v>-0.6739674041333904</v>
      </c>
      <c r="R968" s="3">
        <f t="shared" si="175"/>
        <v>0.49031755503852659</v>
      </c>
    </row>
    <row r="969" spans="1:18" x14ac:dyDescent="0.3">
      <c r="A969" s="2">
        <v>965</v>
      </c>
      <c r="B969" s="2">
        <v>0</v>
      </c>
      <c r="C969" s="2">
        <v>20</v>
      </c>
      <c r="D969" s="2">
        <f t="shared" si="174"/>
        <v>400</v>
      </c>
      <c r="E969" s="2">
        <v>78.547799999999995</v>
      </c>
      <c r="F969" s="2">
        <v>200.28630000000001</v>
      </c>
      <c r="G969" s="2">
        <v>0.82752400000000004</v>
      </c>
      <c r="H969" s="2">
        <v>6</v>
      </c>
      <c r="I969" s="3">
        <f t="shared" si="165"/>
        <v>-1.2588748704263044</v>
      </c>
      <c r="J969" s="3">
        <f t="shared" si="166"/>
        <v>-1.1805942867708998</v>
      </c>
      <c r="K969" s="3">
        <f t="shared" si="167"/>
        <v>0.37941900329311418</v>
      </c>
      <c r="L969" s="3">
        <f t="shared" si="168"/>
        <v>2.0766020878349454</v>
      </c>
      <c r="M969" s="3">
        <f t="shared" si="169"/>
        <v>1.1775135536789978</v>
      </c>
      <c r="N969" s="3">
        <f t="shared" si="170"/>
        <v>1.4896252544247224</v>
      </c>
      <c r="O969" s="3">
        <f t="shared" si="171"/>
        <v>0.20298352565736597</v>
      </c>
      <c r="P969" s="3">
        <f t="shared" si="172"/>
        <v>0.55057235902971557</v>
      </c>
      <c r="Q969" s="3">
        <f t="shared" si="173"/>
        <v>-0.79978041473542283</v>
      </c>
      <c r="R969" s="3">
        <f t="shared" si="175"/>
        <v>-0.55057235902971557</v>
      </c>
    </row>
    <row r="970" spans="1:18" x14ac:dyDescent="0.3">
      <c r="A970" s="2">
        <v>966</v>
      </c>
      <c r="B970" s="2">
        <v>1</v>
      </c>
      <c r="C970" s="2">
        <v>38</v>
      </c>
      <c r="D970" s="2">
        <f t="shared" si="174"/>
        <v>1444</v>
      </c>
      <c r="E970" s="2">
        <v>64.0214</v>
      </c>
      <c r="F970" s="2">
        <v>189.5848</v>
      </c>
      <c r="G970" s="2">
        <v>5.9800000000000001E-4</v>
      </c>
      <c r="H970" s="2">
        <v>3</v>
      </c>
      <c r="I970" s="3">
        <f t="shared" si="165"/>
        <v>1.4941013982741542</v>
      </c>
      <c r="J970" s="3">
        <f t="shared" si="166"/>
        <v>1.6225643324346428</v>
      </c>
      <c r="K970" s="3">
        <f t="shared" si="167"/>
        <v>-1.0889884542528263</v>
      </c>
      <c r="L970" s="3">
        <f t="shared" si="168"/>
        <v>0.99443134468193761</v>
      </c>
      <c r="M970" s="3">
        <f t="shared" si="169"/>
        <v>-1.711973392414367</v>
      </c>
      <c r="N970" s="3">
        <f t="shared" si="170"/>
        <v>-0.27394055586500432</v>
      </c>
      <c r="O970" s="3">
        <f t="shared" si="171"/>
        <v>9.4596564968961565E-3</v>
      </c>
      <c r="P970" s="3">
        <f t="shared" si="172"/>
        <v>0.50236489648900018</v>
      </c>
      <c r="Q970" s="3">
        <f t="shared" si="173"/>
        <v>-0.68842853790742131</v>
      </c>
      <c r="R970" s="3">
        <f t="shared" si="175"/>
        <v>0.49763510351099982</v>
      </c>
    </row>
    <row r="971" spans="1:18" x14ac:dyDescent="0.3">
      <c r="A971" s="2">
        <v>967</v>
      </c>
      <c r="B971" s="2">
        <v>1</v>
      </c>
      <c r="C971" s="2">
        <v>22</v>
      </c>
      <c r="D971" s="2">
        <f t="shared" si="174"/>
        <v>484</v>
      </c>
      <c r="E971" s="2">
        <v>78.953100000000006</v>
      </c>
      <c r="F971" s="2">
        <v>169.036</v>
      </c>
      <c r="G971" s="2">
        <v>0.30781900000000001</v>
      </c>
      <c r="H971" s="2">
        <v>5</v>
      </c>
      <c r="I971" s="3">
        <f t="shared" si="165"/>
        <v>-0.9529886183484757</v>
      </c>
      <c r="J971" s="3">
        <f t="shared" si="166"/>
        <v>-0.9550527886739022</v>
      </c>
      <c r="K971" s="3">
        <f t="shared" si="167"/>
        <v>0.42038892994688842</v>
      </c>
      <c r="L971" s="3">
        <f t="shared" si="168"/>
        <v>-1.0835306388626591</v>
      </c>
      <c r="M971" s="3">
        <f t="shared" si="169"/>
        <v>-0.63846612687216653</v>
      </c>
      <c r="N971" s="3">
        <f t="shared" si="170"/>
        <v>0.90176998432814681</v>
      </c>
      <c r="O971" s="3">
        <f t="shared" si="171"/>
        <v>0.15939407561728133</v>
      </c>
      <c r="P971" s="3">
        <f t="shared" si="172"/>
        <v>0.53976436518163984</v>
      </c>
      <c r="Q971" s="3">
        <f t="shared" si="173"/>
        <v>-0.6166225954316259</v>
      </c>
      <c r="R971" s="3">
        <f t="shared" si="175"/>
        <v>0.46023563481836016</v>
      </c>
    </row>
    <row r="972" spans="1:18" x14ac:dyDescent="0.3">
      <c r="A972" s="2">
        <v>968</v>
      </c>
      <c r="B972" s="2">
        <v>0</v>
      </c>
      <c r="C972" s="2">
        <v>22</v>
      </c>
      <c r="D972" s="2">
        <f t="shared" si="174"/>
        <v>484</v>
      </c>
      <c r="E972" s="2">
        <v>69.265600000000006</v>
      </c>
      <c r="F972" s="2">
        <v>188.38239999999999</v>
      </c>
      <c r="G972" s="2">
        <v>0.24116499999999999</v>
      </c>
      <c r="H972" s="2">
        <v>2</v>
      </c>
      <c r="I972" s="3">
        <f t="shared" si="165"/>
        <v>-0.9529886183484757</v>
      </c>
      <c r="J972" s="3">
        <f t="shared" si="166"/>
        <v>-0.9550527886739022</v>
      </c>
      <c r="K972" s="3">
        <f t="shared" si="167"/>
        <v>-0.55887621798902842</v>
      </c>
      <c r="L972" s="3">
        <f t="shared" si="168"/>
        <v>0.87284071705336341</v>
      </c>
      <c r="M972" s="3">
        <f t="shared" si="169"/>
        <v>-0.87137192848549971</v>
      </c>
      <c r="N972" s="3">
        <f t="shared" si="170"/>
        <v>-0.86179582596158</v>
      </c>
      <c r="O972" s="3">
        <f t="shared" si="171"/>
        <v>0.17503107057949266</v>
      </c>
      <c r="P972" s="3">
        <f t="shared" si="172"/>
        <v>0.5436463957027069</v>
      </c>
      <c r="Q972" s="3">
        <f t="shared" si="173"/>
        <v>-0.78448732195184712</v>
      </c>
      <c r="R972" s="3">
        <f t="shared" si="175"/>
        <v>-0.5436463957027069</v>
      </c>
    </row>
    <row r="973" spans="1:18" x14ac:dyDescent="0.3">
      <c r="A973" s="2">
        <v>969</v>
      </c>
      <c r="B973" s="2">
        <v>1</v>
      </c>
      <c r="C973" s="2">
        <v>36</v>
      </c>
      <c r="D973" s="2">
        <f t="shared" si="174"/>
        <v>1296</v>
      </c>
      <c r="E973" s="2">
        <v>78.534800000000004</v>
      </c>
      <c r="F973" s="2">
        <v>192.44499999999999</v>
      </c>
      <c r="G973" s="2">
        <v>0.233567</v>
      </c>
      <c r="H973" s="2">
        <v>1</v>
      </c>
      <c r="I973" s="3">
        <f t="shared" si="165"/>
        <v>1.1882151461963255</v>
      </c>
      <c r="J973" s="3">
        <f t="shared" si="166"/>
        <v>1.2251816929304087</v>
      </c>
      <c r="K973" s="3">
        <f t="shared" si="167"/>
        <v>0.37810489264298175</v>
      </c>
      <c r="L973" s="3">
        <f t="shared" si="168"/>
        <v>1.2836641400439168</v>
      </c>
      <c r="M973" s="3">
        <f t="shared" si="169"/>
        <v>-0.89792124706590148</v>
      </c>
      <c r="N973" s="3">
        <f t="shared" si="170"/>
        <v>-1.4496510960581555</v>
      </c>
      <c r="O973" s="3">
        <f t="shared" si="171"/>
        <v>8.4529548770978388E-2</v>
      </c>
      <c r="P973" s="3">
        <f t="shared" si="172"/>
        <v>0.52111981317079781</v>
      </c>
      <c r="Q973" s="3">
        <f t="shared" si="173"/>
        <v>-0.65177529596901962</v>
      </c>
      <c r="R973" s="3">
        <f t="shared" si="175"/>
        <v>0.47888018682920219</v>
      </c>
    </row>
    <row r="974" spans="1:18" x14ac:dyDescent="0.3">
      <c r="A974" s="2">
        <v>970</v>
      </c>
      <c r="B974" s="2">
        <v>0</v>
      </c>
      <c r="C974" s="2">
        <v>31</v>
      </c>
      <c r="D974" s="2">
        <f t="shared" si="174"/>
        <v>961</v>
      </c>
      <c r="E974" s="2">
        <v>76.215100000000007</v>
      </c>
      <c r="F974" s="2">
        <v>181.3202</v>
      </c>
      <c r="G974" s="2">
        <v>6.8186999999999998E-2</v>
      </c>
      <c r="H974" s="2">
        <v>3</v>
      </c>
      <c r="I974" s="3">
        <f t="shared" si="165"/>
        <v>0.42349951600175367</v>
      </c>
      <c r="J974" s="3">
        <f t="shared" si="166"/>
        <v>0.32570071837690606</v>
      </c>
      <c r="K974" s="3">
        <f t="shared" si="167"/>
        <v>0.14361700994187787</v>
      </c>
      <c r="L974" s="3">
        <f t="shared" si="168"/>
        <v>0.15868791396079204</v>
      </c>
      <c r="M974" s="3">
        <f t="shared" si="169"/>
        <v>-1.4758004661797288</v>
      </c>
      <c r="N974" s="3">
        <f t="shared" si="170"/>
        <v>-0.27394055586500432</v>
      </c>
      <c r="O974" s="3">
        <f t="shared" si="171"/>
        <v>6.4413557581628977E-2</v>
      </c>
      <c r="P974" s="3">
        <f t="shared" si="172"/>
        <v>0.51609782381494718</v>
      </c>
      <c r="Q974" s="3">
        <f t="shared" si="173"/>
        <v>-0.72587250801369807</v>
      </c>
      <c r="R974" s="3">
        <f t="shared" si="175"/>
        <v>-0.51609782381494718</v>
      </c>
    </row>
    <row r="975" spans="1:18" x14ac:dyDescent="0.3">
      <c r="A975" s="2">
        <v>971</v>
      </c>
      <c r="B975" s="2">
        <v>1</v>
      </c>
      <c r="C975" s="2">
        <v>21</v>
      </c>
      <c r="D975" s="2">
        <f t="shared" si="174"/>
        <v>441</v>
      </c>
      <c r="E975" s="2">
        <v>65.236199999999997</v>
      </c>
      <c r="F975" s="2">
        <v>183.61439999999999</v>
      </c>
      <c r="G975" s="2">
        <v>0.18712400000000001</v>
      </c>
      <c r="H975" s="2">
        <v>5</v>
      </c>
      <c r="I975" s="3">
        <f t="shared" si="165"/>
        <v>-1.1059317443873902</v>
      </c>
      <c r="J975" s="3">
        <f t="shared" si="166"/>
        <v>-1.0705085555568892</v>
      </c>
      <c r="K975" s="3">
        <f t="shared" si="167"/>
        <v>-0.96618986826959541</v>
      </c>
      <c r="L975" s="3">
        <f t="shared" si="168"/>
        <v>0.39068493484025907</v>
      </c>
      <c r="M975" s="3">
        <f t="shared" si="169"/>
        <v>-1.0602047430950674</v>
      </c>
      <c r="N975" s="3">
        <f t="shared" si="170"/>
        <v>0.90176998432814681</v>
      </c>
      <c r="O975" s="3">
        <f t="shared" si="171"/>
        <v>0.14872577007702523</v>
      </c>
      <c r="P975" s="3">
        <f t="shared" si="172"/>
        <v>0.53711305798455333</v>
      </c>
      <c r="Q975" s="3">
        <f t="shared" si="173"/>
        <v>-0.62154667034884115</v>
      </c>
      <c r="R975" s="3">
        <f t="shared" si="175"/>
        <v>0.46288694201544667</v>
      </c>
    </row>
    <row r="976" spans="1:18" x14ac:dyDescent="0.3">
      <c r="A976" s="2">
        <v>972</v>
      </c>
      <c r="B976" s="2">
        <v>1</v>
      </c>
      <c r="C976" s="2">
        <v>30</v>
      </c>
      <c r="D976" s="2">
        <f t="shared" si="174"/>
        <v>900</v>
      </c>
      <c r="E976" s="2">
        <v>66.075400000000002</v>
      </c>
      <c r="F976" s="2">
        <v>183.3835</v>
      </c>
      <c r="G976" s="2">
        <v>0.55554999999999999</v>
      </c>
      <c r="H976" s="2">
        <v>3</v>
      </c>
      <c r="I976" s="3">
        <f t="shared" si="165"/>
        <v>0.27055638996283926</v>
      </c>
      <c r="J976" s="3">
        <f t="shared" si="166"/>
        <v>0.16191463047313392</v>
      </c>
      <c r="K976" s="3">
        <f t="shared" si="167"/>
        <v>-0.88135897153175524</v>
      </c>
      <c r="L976" s="3">
        <f t="shared" si="168"/>
        <v>0.36733557030313624</v>
      </c>
      <c r="M976" s="3">
        <f t="shared" si="169"/>
        <v>0.22716815073266786</v>
      </c>
      <c r="N976" s="3">
        <f t="shared" si="170"/>
        <v>-0.27394055586500432</v>
      </c>
      <c r="O976" s="3">
        <f t="shared" si="171"/>
        <v>-6.1313538474262318E-2</v>
      </c>
      <c r="P976" s="3">
        <f t="shared" si="172"/>
        <v>0.48467641564041702</v>
      </c>
      <c r="Q976" s="3">
        <f t="shared" si="173"/>
        <v>-0.7242737949576713</v>
      </c>
      <c r="R976" s="3">
        <f t="shared" si="175"/>
        <v>0.51532358435958292</v>
      </c>
    </row>
    <row r="977" spans="1:18" x14ac:dyDescent="0.3">
      <c r="A977" s="2">
        <v>973</v>
      </c>
      <c r="B977" s="2">
        <v>1</v>
      </c>
      <c r="C977" s="2">
        <v>27</v>
      </c>
      <c r="D977" s="2">
        <f t="shared" si="174"/>
        <v>729</v>
      </c>
      <c r="E977" s="2">
        <v>78.550200000000004</v>
      </c>
      <c r="F977" s="2">
        <v>159.14179999999999</v>
      </c>
      <c r="G977" s="2">
        <v>0.29136099999999998</v>
      </c>
      <c r="H977" s="2">
        <v>5</v>
      </c>
      <c r="I977" s="3">
        <f t="shared" si="165"/>
        <v>-0.18827298815390386</v>
      </c>
      <c r="J977" s="3">
        <f t="shared" si="166"/>
        <v>-0.29722341922432566</v>
      </c>
      <c r="K977" s="3">
        <f t="shared" si="167"/>
        <v>0.37966160833621659</v>
      </c>
      <c r="L977" s="3">
        <f t="shared" si="168"/>
        <v>-2.084064560920734</v>
      </c>
      <c r="M977" s="3">
        <f t="shared" si="169"/>
        <v>-0.69597450870899913</v>
      </c>
      <c r="N977" s="3">
        <f t="shared" si="170"/>
        <v>0.90176998432814681</v>
      </c>
      <c r="O977" s="3">
        <f t="shared" si="171"/>
        <v>2.7160421523958526E-2</v>
      </c>
      <c r="P977" s="3">
        <f t="shared" si="172"/>
        <v>0.50678968799655999</v>
      </c>
      <c r="Q977" s="3">
        <f t="shared" si="173"/>
        <v>-0.67965917802598197</v>
      </c>
      <c r="R977" s="3">
        <f t="shared" si="175"/>
        <v>0.49321031200344001</v>
      </c>
    </row>
    <row r="978" spans="1:18" x14ac:dyDescent="0.3">
      <c r="A978" s="2">
        <v>974</v>
      </c>
      <c r="B978" s="2">
        <v>0</v>
      </c>
      <c r="C978" s="2">
        <v>35</v>
      </c>
      <c r="D978" s="2">
        <f t="shared" si="174"/>
        <v>1225</v>
      </c>
      <c r="E978" s="2">
        <v>72.788899999999998</v>
      </c>
      <c r="F978" s="2">
        <v>178.13130000000001</v>
      </c>
      <c r="G978" s="2">
        <v>0.41739500000000002</v>
      </c>
      <c r="H978" s="2">
        <v>6</v>
      </c>
      <c r="I978" s="3">
        <f t="shared" si="165"/>
        <v>1.0352720201574113</v>
      </c>
      <c r="J978" s="3">
        <f t="shared" si="166"/>
        <v>1.034545426681756</v>
      </c>
      <c r="K978" s="3">
        <f t="shared" si="167"/>
        <v>-0.20272190617250116</v>
      </c>
      <c r="L978" s="3">
        <f t="shared" si="168"/>
        <v>-0.16378410237716165</v>
      </c>
      <c r="M978" s="3">
        <f t="shared" si="169"/>
        <v>-0.2555800867608064</v>
      </c>
      <c r="N978" s="3">
        <f t="shared" si="170"/>
        <v>1.4896252544247224</v>
      </c>
      <c r="O978" s="3">
        <f t="shared" si="171"/>
        <v>-5.7003019213791209E-2</v>
      </c>
      <c r="P978" s="3">
        <f t="shared" si="172"/>
        <v>0.48575310274372879</v>
      </c>
      <c r="Q978" s="3">
        <f t="shared" si="173"/>
        <v>-0.6650517839990735</v>
      </c>
      <c r="R978" s="3">
        <f t="shared" si="175"/>
        <v>-0.48575310274372879</v>
      </c>
    </row>
    <row r="979" spans="1:18" x14ac:dyDescent="0.3">
      <c r="A979" s="2">
        <v>975</v>
      </c>
      <c r="B979" s="2">
        <v>1</v>
      </c>
      <c r="C979" s="2">
        <v>25</v>
      </c>
      <c r="D979" s="2">
        <f t="shared" si="174"/>
        <v>625</v>
      </c>
      <c r="E979" s="2">
        <v>66.597200000000001</v>
      </c>
      <c r="F979" s="2">
        <v>177.61089999999999</v>
      </c>
      <c r="G979" s="2">
        <v>0.37686700000000001</v>
      </c>
      <c r="H979" s="2">
        <v>4</v>
      </c>
      <c r="I979" s="3">
        <f t="shared" si="165"/>
        <v>-0.49415924023173263</v>
      </c>
      <c r="J979" s="3">
        <f t="shared" si="166"/>
        <v>-0.57646527401108472</v>
      </c>
      <c r="K979" s="3">
        <f t="shared" si="167"/>
        <v>-0.82861259174409485</v>
      </c>
      <c r="L979" s="3">
        <f t="shared" si="168"/>
        <v>-0.21640865545260435</v>
      </c>
      <c r="M979" s="3">
        <f t="shared" si="169"/>
        <v>-0.39719508852791968</v>
      </c>
      <c r="N979" s="3">
        <f t="shared" si="170"/>
        <v>0.31391471423157125</v>
      </c>
      <c r="O979" s="3">
        <f t="shared" si="171"/>
        <v>2.3885964863101617E-2</v>
      </c>
      <c r="P979" s="3">
        <f t="shared" si="172"/>
        <v>0.50597120731776268</v>
      </c>
      <c r="Q979" s="3">
        <f t="shared" si="173"/>
        <v>-0.68127551384774798</v>
      </c>
      <c r="R979" s="3">
        <f t="shared" si="175"/>
        <v>0.49402879268223732</v>
      </c>
    </row>
    <row r="980" spans="1:18" x14ac:dyDescent="0.3">
      <c r="A980" s="2">
        <v>976</v>
      </c>
      <c r="B980" s="2">
        <v>0</v>
      </c>
      <c r="C980" s="2">
        <v>25</v>
      </c>
      <c r="D980" s="2">
        <f t="shared" si="174"/>
        <v>625</v>
      </c>
      <c r="E980" s="2">
        <v>65.771699999999996</v>
      </c>
      <c r="F980" s="2">
        <v>194.30160000000001</v>
      </c>
      <c r="G980" s="2">
        <v>0.87590500000000004</v>
      </c>
      <c r="H980" s="2">
        <v>3</v>
      </c>
      <c r="I980" s="3">
        <f t="shared" si="165"/>
        <v>-0.49415924023173263</v>
      </c>
      <c r="J980" s="3">
        <f t="shared" si="166"/>
        <v>-0.57646527401108472</v>
      </c>
      <c r="K980" s="3">
        <f t="shared" si="167"/>
        <v>-0.91205861802756372</v>
      </c>
      <c r="L980" s="3">
        <f t="shared" si="168"/>
        <v>1.471409615139734</v>
      </c>
      <c r="M980" s="3">
        <f t="shared" si="169"/>
        <v>1.3465689080141416</v>
      </c>
      <c r="N980" s="3">
        <f t="shared" si="170"/>
        <v>-0.27394055586500432</v>
      </c>
      <c r="O980" s="3">
        <f t="shared" si="171"/>
        <v>-8.3769896468274298E-3</v>
      </c>
      <c r="P980" s="3">
        <f t="shared" si="172"/>
        <v>0.49790576483500931</v>
      </c>
      <c r="Q980" s="3">
        <f t="shared" si="173"/>
        <v>-0.68896745745532695</v>
      </c>
      <c r="R980" s="3">
        <f t="shared" si="175"/>
        <v>-0.49790576483500931</v>
      </c>
    </row>
    <row r="981" spans="1:18" x14ac:dyDescent="0.3">
      <c r="A981" s="2">
        <v>977</v>
      </c>
      <c r="B981" s="2">
        <v>0</v>
      </c>
      <c r="C981" s="2">
        <v>24</v>
      </c>
      <c r="D981" s="2">
        <f t="shared" si="174"/>
        <v>576</v>
      </c>
      <c r="E981" s="2">
        <v>71.961699999999993</v>
      </c>
      <c r="F981" s="2">
        <v>183.3373</v>
      </c>
      <c r="G981" s="2">
        <v>0.90529899999999996</v>
      </c>
      <c r="H981" s="2">
        <v>3</v>
      </c>
      <c r="I981" s="3">
        <f t="shared" si="165"/>
        <v>-0.64710236627064699</v>
      </c>
      <c r="J981" s="3">
        <f t="shared" si="166"/>
        <v>-0.70803114790099997</v>
      </c>
      <c r="K981" s="3">
        <f t="shared" si="167"/>
        <v>-0.28633977769483354</v>
      </c>
      <c r="L981" s="3">
        <f t="shared" si="168"/>
        <v>0.3626636749301822</v>
      </c>
      <c r="M981" s="3">
        <f t="shared" si="169"/>
        <v>1.4492789199057354</v>
      </c>
      <c r="N981" s="3">
        <f t="shared" si="170"/>
        <v>-0.27394055586500432</v>
      </c>
      <c r="O981" s="3">
        <f t="shared" si="171"/>
        <v>2.4343529373513615E-2</v>
      </c>
      <c r="P981" s="3">
        <f t="shared" si="172"/>
        <v>0.50608558181626717</v>
      </c>
      <c r="Q981" s="3">
        <f t="shared" si="173"/>
        <v>-0.70539301934548826</v>
      </c>
      <c r="R981" s="3">
        <f t="shared" si="175"/>
        <v>-0.50608558181626717</v>
      </c>
    </row>
    <row r="982" spans="1:18" x14ac:dyDescent="0.3">
      <c r="A982" s="2">
        <v>978</v>
      </c>
      <c r="B982" s="2">
        <v>1</v>
      </c>
      <c r="C982" s="2">
        <v>25</v>
      </c>
      <c r="D982" s="2">
        <f t="shared" si="174"/>
        <v>625</v>
      </c>
      <c r="E982" s="2">
        <v>90.680999999999997</v>
      </c>
      <c r="F982" s="2">
        <v>177.0239</v>
      </c>
      <c r="G982" s="2">
        <v>0.49295699999999998</v>
      </c>
      <c r="H982" s="2">
        <v>3</v>
      </c>
      <c r="I982" s="3">
        <f t="shared" si="165"/>
        <v>-0.49415924023173263</v>
      </c>
      <c r="J982" s="3">
        <f t="shared" si="166"/>
        <v>-0.57646527401108472</v>
      </c>
      <c r="K982" s="3">
        <f t="shared" si="167"/>
        <v>1.6059087986929665</v>
      </c>
      <c r="L982" s="3">
        <f t="shared" si="168"/>
        <v>-0.27576801874100343</v>
      </c>
      <c r="M982" s="3">
        <f t="shared" si="169"/>
        <v>8.4525021536873985E-3</v>
      </c>
      <c r="N982" s="3">
        <f t="shared" si="170"/>
        <v>-0.27394055586500432</v>
      </c>
      <c r="O982" s="3">
        <f t="shared" si="171"/>
        <v>0.17307176556234208</v>
      </c>
      <c r="P982" s="3">
        <f t="shared" si="172"/>
        <v>0.5431602605227619</v>
      </c>
      <c r="Q982" s="3">
        <f t="shared" si="173"/>
        <v>-0.61035086350889745</v>
      </c>
      <c r="R982" s="3">
        <f t="shared" si="175"/>
        <v>0.4568397394772381</v>
      </c>
    </row>
    <row r="983" spans="1:18" x14ac:dyDescent="0.3">
      <c r="A983" s="2">
        <v>979</v>
      </c>
      <c r="B983" s="2">
        <v>0</v>
      </c>
      <c r="C983" s="2">
        <v>31</v>
      </c>
      <c r="D983" s="2">
        <f t="shared" si="174"/>
        <v>961</v>
      </c>
      <c r="E983" s="2">
        <v>69.739199999999997</v>
      </c>
      <c r="F983" s="2">
        <v>179.09880000000001</v>
      </c>
      <c r="G983" s="2">
        <v>0.33015600000000001</v>
      </c>
      <c r="H983" s="2">
        <v>4</v>
      </c>
      <c r="I983" s="3">
        <f t="shared" si="165"/>
        <v>0.42349951600175367</v>
      </c>
      <c r="J983" s="3">
        <f t="shared" si="166"/>
        <v>0.32570071837690606</v>
      </c>
      <c r="K983" s="3">
        <f t="shared" si="167"/>
        <v>-0.51100215615032485</v>
      </c>
      <c r="L983" s="3">
        <f t="shared" si="168"/>
        <v>-6.5947332391595587E-2</v>
      </c>
      <c r="M983" s="3">
        <f t="shared" si="169"/>
        <v>-0.56041504380682872</v>
      </c>
      <c r="N983" s="3">
        <f t="shared" si="170"/>
        <v>0.31391471423157125</v>
      </c>
      <c r="O983" s="3">
        <f t="shared" si="171"/>
        <v>-3.0810951628107139E-2</v>
      </c>
      <c r="P983" s="3">
        <f t="shared" si="172"/>
        <v>0.49229787139535097</v>
      </c>
      <c r="Q983" s="3">
        <f t="shared" si="173"/>
        <v>-0.67786036439497555</v>
      </c>
      <c r="R983" s="3">
        <f t="shared" si="175"/>
        <v>-0.49229787139535097</v>
      </c>
    </row>
    <row r="984" spans="1:18" x14ac:dyDescent="0.3">
      <c r="A984" s="2">
        <v>980</v>
      </c>
      <c r="B984" s="2">
        <v>1</v>
      </c>
      <c r="C984" s="2">
        <v>36</v>
      </c>
      <c r="D984" s="2">
        <f t="shared" si="174"/>
        <v>1296</v>
      </c>
      <c r="E984" s="2">
        <v>74.859800000000007</v>
      </c>
      <c r="F984" s="2">
        <v>190.23390000000001</v>
      </c>
      <c r="G984" s="2">
        <v>0.10680099999999999</v>
      </c>
      <c r="H984" s="2">
        <v>1</v>
      </c>
      <c r="I984" s="3">
        <f t="shared" si="165"/>
        <v>1.1882151461963255</v>
      </c>
      <c r="J984" s="3">
        <f t="shared" si="166"/>
        <v>1.2251816929304087</v>
      </c>
      <c r="K984" s="3">
        <f t="shared" si="167"/>
        <v>6.6159203937438864E-3</v>
      </c>
      <c r="L984" s="3">
        <f t="shared" si="168"/>
        <v>1.0600704634391793</v>
      </c>
      <c r="M984" s="3">
        <f t="shared" si="169"/>
        <v>-1.3408734606962283</v>
      </c>
      <c r="N984" s="3">
        <f t="shared" si="170"/>
        <v>-1.4496510960581555</v>
      </c>
      <c r="O984" s="3">
        <f t="shared" si="171"/>
        <v>7.381826507687253E-2</v>
      </c>
      <c r="P984" s="3">
        <f t="shared" si="172"/>
        <v>0.51844619071262676</v>
      </c>
      <c r="Q984" s="3">
        <f t="shared" si="173"/>
        <v>-0.65691903545854735</v>
      </c>
      <c r="R984" s="3">
        <f t="shared" si="175"/>
        <v>0.48155380928737324</v>
      </c>
    </row>
    <row r="985" spans="1:18" x14ac:dyDescent="0.3">
      <c r="A985" s="2">
        <v>981</v>
      </c>
      <c r="B985" s="2">
        <v>0</v>
      </c>
      <c r="C985" s="2">
        <v>23</v>
      </c>
      <c r="D985" s="2">
        <f t="shared" si="174"/>
        <v>529</v>
      </c>
      <c r="E985" s="2">
        <v>76.016400000000004</v>
      </c>
      <c r="F985" s="2">
        <v>178.1542</v>
      </c>
      <c r="G985" s="2">
        <v>0.953403</v>
      </c>
      <c r="H985" s="2">
        <v>5</v>
      </c>
      <c r="I985" s="3">
        <f t="shared" si="165"/>
        <v>-0.80004549230956135</v>
      </c>
      <c r="J985" s="3">
        <f t="shared" si="166"/>
        <v>-0.83422698612193913</v>
      </c>
      <c r="K985" s="3">
        <f t="shared" si="167"/>
        <v>0.12353133408176235</v>
      </c>
      <c r="L985" s="3">
        <f t="shared" si="168"/>
        <v>-0.16146837934597946</v>
      </c>
      <c r="M985" s="3">
        <f t="shared" si="169"/>
        <v>1.6173663667327494</v>
      </c>
      <c r="N985" s="3">
        <f t="shared" si="170"/>
        <v>0.90176998432814681</v>
      </c>
      <c r="O985" s="3">
        <f t="shared" si="171"/>
        <v>3.9415986435681609E-2</v>
      </c>
      <c r="P985" s="3">
        <f t="shared" si="172"/>
        <v>0.50985272102659041</v>
      </c>
      <c r="Q985" s="3">
        <f t="shared" si="173"/>
        <v>-0.71304936370588856</v>
      </c>
      <c r="R985" s="3">
        <f t="shared" si="175"/>
        <v>-0.50985272102659041</v>
      </c>
    </row>
    <row r="986" spans="1:18" x14ac:dyDescent="0.3">
      <c r="A986" s="2">
        <v>982</v>
      </c>
      <c r="B986" s="2">
        <v>0</v>
      </c>
      <c r="C986" s="2">
        <v>18</v>
      </c>
      <c r="D986" s="2">
        <f t="shared" si="174"/>
        <v>324</v>
      </c>
      <c r="E986" s="2">
        <v>63.689700000000002</v>
      </c>
      <c r="F986" s="2">
        <v>173.018</v>
      </c>
      <c r="G986" s="2">
        <v>6.0227000000000003E-2</v>
      </c>
      <c r="H986" s="2">
        <v>6</v>
      </c>
      <c r="I986" s="3">
        <f t="shared" si="165"/>
        <v>-1.5647611225041334</v>
      </c>
      <c r="J986" s="3">
        <f t="shared" si="166"/>
        <v>-1.3846556421919931</v>
      </c>
      <c r="K986" s="3">
        <f t="shared" si="167"/>
        <v>-1.1225184929181518</v>
      </c>
      <c r="L986" s="3">
        <f t="shared" si="168"/>
        <v>-0.68085775195565801</v>
      </c>
      <c r="M986" s="3">
        <f t="shared" si="169"/>
        <v>-1.5036147035974701</v>
      </c>
      <c r="N986" s="3">
        <f t="shared" si="170"/>
        <v>1.4896252544247224</v>
      </c>
      <c r="O986" s="3">
        <f t="shared" si="171"/>
        <v>0.22146157921208889</v>
      </c>
      <c r="P986" s="3">
        <f t="shared" si="172"/>
        <v>0.5551402150892476</v>
      </c>
      <c r="Q986" s="3">
        <f t="shared" si="173"/>
        <v>-0.80999613655540559</v>
      </c>
      <c r="R986" s="3">
        <f t="shared" si="175"/>
        <v>-0.5551402150892476</v>
      </c>
    </row>
    <row r="987" spans="1:18" x14ac:dyDescent="0.3">
      <c r="A987" s="2">
        <v>983</v>
      </c>
      <c r="B987" s="2">
        <v>1</v>
      </c>
      <c r="C987" s="2">
        <v>32</v>
      </c>
      <c r="D987" s="2">
        <f t="shared" si="174"/>
        <v>1024</v>
      </c>
      <c r="E987" s="2">
        <v>57.371699999999997</v>
      </c>
      <c r="F987" s="2">
        <v>177.24299999999999</v>
      </c>
      <c r="G987" s="2">
        <v>0.29765000000000003</v>
      </c>
      <c r="H987" s="2">
        <v>3</v>
      </c>
      <c r="I987" s="3">
        <f t="shared" si="165"/>
        <v>0.57644264204066809</v>
      </c>
      <c r="J987" s="3">
        <f t="shared" si="166"/>
        <v>0.49485684194965435</v>
      </c>
      <c r="K987" s="3">
        <f t="shared" si="167"/>
        <v>-1.7611762688829651</v>
      </c>
      <c r="L987" s="3">
        <f t="shared" si="168"/>
        <v>-0.25361190886623625</v>
      </c>
      <c r="M987" s="3">
        <f t="shared" si="169"/>
        <v>-0.67399916459842424</v>
      </c>
      <c r="N987" s="3">
        <f t="shared" si="170"/>
        <v>-0.27394055586500432</v>
      </c>
      <c r="O987" s="3">
        <f t="shared" si="171"/>
        <v>-0.11098042506663552</v>
      </c>
      <c r="P987" s="3">
        <f t="shared" si="172"/>
        <v>0.47228333594380201</v>
      </c>
      <c r="Q987" s="3">
        <f t="shared" si="173"/>
        <v>-0.75017618548083209</v>
      </c>
      <c r="R987" s="3">
        <f t="shared" si="175"/>
        <v>0.52771666405619799</v>
      </c>
    </row>
    <row r="988" spans="1:18" x14ac:dyDescent="0.3">
      <c r="A988" s="2">
        <v>984</v>
      </c>
      <c r="B988" s="2">
        <v>1</v>
      </c>
      <c r="C988" s="2">
        <v>18</v>
      </c>
      <c r="D988" s="2">
        <f t="shared" si="174"/>
        <v>324</v>
      </c>
      <c r="E988" s="2">
        <v>64.733599999999996</v>
      </c>
      <c r="F988" s="2">
        <v>189.40700000000001</v>
      </c>
      <c r="G988" s="2">
        <v>0.298066</v>
      </c>
      <c r="H988" s="2">
        <v>4</v>
      </c>
      <c r="I988" s="3">
        <f t="shared" si="165"/>
        <v>-1.5647611225041334</v>
      </c>
      <c r="J988" s="3">
        <f t="shared" si="166"/>
        <v>-1.3846556421919931</v>
      </c>
      <c r="K988" s="3">
        <f t="shared" si="167"/>
        <v>-1.0169954077124437</v>
      </c>
      <c r="L988" s="3">
        <f t="shared" si="168"/>
        <v>0.97645162612541803</v>
      </c>
      <c r="M988" s="3">
        <f t="shared" si="169"/>
        <v>-0.6725455562107634</v>
      </c>
      <c r="N988" s="3">
        <f t="shared" si="170"/>
        <v>0.31391471423157125</v>
      </c>
      <c r="O988" s="3">
        <f t="shared" si="171"/>
        <v>0.24786743335024503</v>
      </c>
      <c r="P988" s="3">
        <f t="shared" si="172"/>
        <v>0.56165153414029434</v>
      </c>
      <c r="Q988" s="3">
        <f t="shared" si="173"/>
        <v>-0.57687366741018398</v>
      </c>
      <c r="R988" s="3">
        <f t="shared" si="175"/>
        <v>0.43834846585970566</v>
      </c>
    </row>
    <row r="989" spans="1:18" x14ac:dyDescent="0.3">
      <c r="A989" s="2">
        <v>985</v>
      </c>
      <c r="B989" s="2">
        <v>1</v>
      </c>
      <c r="C989" s="2">
        <v>34</v>
      </c>
      <c r="D989" s="2">
        <f t="shared" si="174"/>
        <v>1156</v>
      </c>
      <c r="E989" s="2">
        <v>77.470799999999997</v>
      </c>
      <c r="F989" s="2">
        <v>184.9616</v>
      </c>
      <c r="G989" s="2">
        <v>0.32040099999999999</v>
      </c>
      <c r="H989" s="2">
        <v>1</v>
      </c>
      <c r="I989" s="3">
        <f t="shared" si="165"/>
        <v>0.8823288941184968</v>
      </c>
      <c r="J989" s="3">
        <f t="shared" si="166"/>
        <v>0.84927919610207925</v>
      </c>
      <c r="K989" s="3">
        <f t="shared" si="167"/>
        <v>0.27054999020129683</v>
      </c>
      <c r="L989" s="3">
        <f t="shared" si="168"/>
        <v>0.52691821290181551</v>
      </c>
      <c r="M989" s="3">
        <f t="shared" si="169"/>
        <v>-0.59450146164728945</v>
      </c>
      <c r="N989" s="3">
        <f t="shared" si="170"/>
        <v>-1.4496510960581555</v>
      </c>
      <c r="O989" s="3">
        <f t="shared" si="171"/>
        <v>4.5932641098754071E-2</v>
      </c>
      <c r="P989" s="3">
        <f t="shared" si="172"/>
        <v>0.5114811417623979</v>
      </c>
      <c r="Q989" s="3">
        <f t="shared" si="173"/>
        <v>-0.67044456276982656</v>
      </c>
      <c r="R989" s="3">
        <f t="shared" si="175"/>
        <v>0.4885188582376021</v>
      </c>
    </row>
    <row r="990" spans="1:18" x14ac:dyDescent="0.3">
      <c r="A990" s="2">
        <v>986</v>
      </c>
      <c r="B990" s="2">
        <v>1</v>
      </c>
      <c r="C990" s="2">
        <v>18</v>
      </c>
      <c r="D990" s="2">
        <f t="shared" si="174"/>
        <v>324</v>
      </c>
      <c r="E990" s="2">
        <v>75.8733</v>
      </c>
      <c r="F990" s="2">
        <v>180.4427</v>
      </c>
      <c r="G990" s="2">
        <v>0.16428699999999999</v>
      </c>
      <c r="H990" s="2">
        <v>5</v>
      </c>
      <c r="I990" s="3">
        <f t="shared" si="165"/>
        <v>-1.5647611225041334</v>
      </c>
      <c r="J990" s="3">
        <f t="shared" si="166"/>
        <v>-1.3846556421919931</v>
      </c>
      <c r="K990" s="3">
        <f t="shared" si="167"/>
        <v>0.10906600838683243</v>
      </c>
      <c r="L990" s="3">
        <f t="shared" si="168"/>
        <v>6.9952238857604571E-2</v>
      </c>
      <c r="M990" s="3">
        <f t="shared" si="169"/>
        <v>-1.1400029516263437</v>
      </c>
      <c r="N990" s="3">
        <f t="shared" si="170"/>
        <v>0.90176998432814681</v>
      </c>
      <c r="O990" s="3">
        <f t="shared" si="171"/>
        <v>0.31234923585784719</v>
      </c>
      <c r="P990" s="3">
        <f t="shared" si="172"/>
        <v>0.57745857913937637</v>
      </c>
      <c r="Q990" s="3">
        <f t="shared" si="173"/>
        <v>-0.54911856359248901</v>
      </c>
      <c r="R990" s="3">
        <f t="shared" si="175"/>
        <v>0.42254142086062363</v>
      </c>
    </row>
    <row r="991" spans="1:18" x14ac:dyDescent="0.3">
      <c r="A991" s="2">
        <v>987</v>
      </c>
      <c r="B991" s="2">
        <v>0</v>
      </c>
      <c r="C991" s="2">
        <v>32</v>
      </c>
      <c r="D991" s="2">
        <f t="shared" si="174"/>
        <v>1024</v>
      </c>
      <c r="E991" s="2">
        <v>82.024100000000004</v>
      </c>
      <c r="F991" s="2">
        <v>181.91540000000001</v>
      </c>
      <c r="G991" s="2">
        <v>0.783161</v>
      </c>
      <c r="H991" s="2">
        <v>4</v>
      </c>
      <c r="I991" s="3">
        <f t="shared" si="165"/>
        <v>0.57644264204066809</v>
      </c>
      <c r="J991" s="3">
        <f t="shared" si="166"/>
        <v>0.49485684194965435</v>
      </c>
      <c r="K991" s="3">
        <f t="shared" si="167"/>
        <v>0.730822299682238</v>
      </c>
      <c r="L991" s="3">
        <f t="shared" si="168"/>
        <v>0.21887648811625393</v>
      </c>
      <c r="M991" s="3">
        <f t="shared" si="169"/>
        <v>1.0224980995881361</v>
      </c>
      <c r="N991" s="3">
        <f t="shared" si="170"/>
        <v>0.31391471423157125</v>
      </c>
      <c r="O991" s="3">
        <f t="shared" si="171"/>
        <v>-1.6955564598731883E-2</v>
      </c>
      <c r="P991" s="3">
        <f t="shared" si="172"/>
        <v>0.49576121040104587</v>
      </c>
      <c r="Q991" s="3">
        <f t="shared" si="173"/>
        <v>-0.6847053342264704</v>
      </c>
      <c r="R991" s="3">
        <f t="shared" si="175"/>
        <v>-0.49576121040104587</v>
      </c>
    </row>
    <row r="992" spans="1:18" x14ac:dyDescent="0.3">
      <c r="A992" s="2">
        <v>988</v>
      </c>
      <c r="B992" s="2">
        <v>0</v>
      </c>
      <c r="C992" s="2">
        <v>19</v>
      </c>
      <c r="D992" s="2">
        <f t="shared" si="174"/>
        <v>361</v>
      </c>
      <c r="E992" s="2">
        <v>75.967500000000001</v>
      </c>
      <c r="F992" s="2">
        <v>174.40260000000001</v>
      </c>
      <c r="G992" s="2">
        <v>0.122498</v>
      </c>
      <c r="H992" s="2">
        <v>6</v>
      </c>
      <c r="I992" s="3">
        <f t="shared" si="165"/>
        <v>-1.4118179964652189</v>
      </c>
      <c r="J992" s="3">
        <f t="shared" si="166"/>
        <v>-1.2853099823159346</v>
      </c>
      <c r="K992" s="3">
        <f t="shared" si="167"/>
        <v>0.11858825632856808</v>
      </c>
      <c r="L992" s="3">
        <f t="shared" si="168"/>
        <v>-0.54084246335409192</v>
      </c>
      <c r="M992" s="3">
        <f t="shared" si="169"/>
        <v>-1.2860242038185541</v>
      </c>
      <c r="N992" s="3">
        <f t="shared" si="170"/>
        <v>1.4896252544247224</v>
      </c>
      <c r="O992" s="3">
        <f t="shared" si="171"/>
        <v>0.26230804583434048</v>
      </c>
      <c r="P992" s="3">
        <f t="shared" si="172"/>
        <v>0.56520357571057922</v>
      </c>
      <c r="Q992" s="3">
        <f t="shared" si="173"/>
        <v>-0.83287734757427834</v>
      </c>
      <c r="R992" s="3">
        <f t="shared" si="175"/>
        <v>-0.56520357571057922</v>
      </c>
    </row>
    <row r="993" spans="1:18" x14ac:dyDescent="0.3">
      <c r="A993" s="2">
        <v>989</v>
      </c>
      <c r="B993" s="2">
        <v>0</v>
      </c>
      <c r="C993" s="2">
        <v>31</v>
      </c>
      <c r="D993" s="2">
        <f t="shared" si="174"/>
        <v>961</v>
      </c>
      <c r="E993" s="2">
        <v>73.904499999999999</v>
      </c>
      <c r="F993" s="2">
        <v>178.06049999999999</v>
      </c>
      <c r="G993" s="2">
        <v>0.634907</v>
      </c>
      <c r="H993" s="2">
        <v>6</v>
      </c>
      <c r="I993" s="3">
        <f t="shared" si="165"/>
        <v>0.42349951600175367</v>
      </c>
      <c r="J993" s="3">
        <f t="shared" si="166"/>
        <v>0.32570071837690606</v>
      </c>
      <c r="K993" s="3">
        <f t="shared" si="167"/>
        <v>-8.9950995304133738E-2</v>
      </c>
      <c r="L993" s="3">
        <f t="shared" si="168"/>
        <v>-0.17094363035130117</v>
      </c>
      <c r="M993" s="3">
        <f t="shared" si="169"/>
        <v>0.5044614219336353</v>
      </c>
      <c r="N993" s="3">
        <f t="shared" si="170"/>
        <v>1.4896252544247224</v>
      </c>
      <c r="O993" s="3">
        <f t="shared" si="171"/>
        <v>-6.7293505609410789E-2</v>
      </c>
      <c r="P993" s="3">
        <f t="shared" si="172"/>
        <v>0.4831829693278144</v>
      </c>
      <c r="Q993" s="3">
        <f t="shared" si="173"/>
        <v>-0.66006637296967263</v>
      </c>
      <c r="R993" s="3">
        <f t="shared" si="175"/>
        <v>-0.4831829693278144</v>
      </c>
    </row>
    <row r="994" spans="1:18" x14ac:dyDescent="0.3">
      <c r="A994" s="2">
        <v>990</v>
      </c>
      <c r="B994" s="2">
        <v>1</v>
      </c>
      <c r="C994" s="2">
        <v>38</v>
      </c>
      <c r="D994" s="2">
        <f t="shared" si="174"/>
        <v>1444</v>
      </c>
      <c r="E994" s="2">
        <v>68.959900000000005</v>
      </c>
      <c r="F994" s="2">
        <v>173.36699999999999</v>
      </c>
      <c r="G994" s="2">
        <v>0.123846</v>
      </c>
      <c r="H994" s="2">
        <v>5</v>
      </c>
      <c r="I994" s="3">
        <f t="shared" si="165"/>
        <v>1.4941013982741542</v>
      </c>
      <c r="J994" s="3">
        <f t="shared" si="166"/>
        <v>1.6225643324346428</v>
      </c>
      <c r="K994" s="3">
        <f t="shared" si="167"/>
        <v>-0.58977803535408768</v>
      </c>
      <c r="L994" s="3">
        <f t="shared" si="168"/>
        <v>-0.64556572846732574</v>
      </c>
      <c r="M994" s="3">
        <f t="shared" si="169"/>
        <v>-1.2813139535623836</v>
      </c>
      <c r="N994" s="3">
        <f t="shared" si="170"/>
        <v>0.90176998432814681</v>
      </c>
      <c r="O994" s="3">
        <f t="shared" si="171"/>
        <v>-3.0523340240298361E-2</v>
      </c>
      <c r="P994" s="3">
        <f t="shared" si="172"/>
        <v>0.49236975733914223</v>
      </c>
      <c r="Q994" s="3">
        <f t="shared" si="173"/>
        <v>-0.70852530544688153</v>
      </c>
      <c r="R994" s="3">
        <f t="shared" si="175"/>
        <v>0.50763024266085777</v>
      </c>
    </row>
    <row r="995" spans="1:18" x14ac:dyDescent="0.3">
      <c r="A995" s="2">
        <v>991</v>
      </c>
      <c r="B995" s="2">
        <v>0</v>
      </c>
      <c r="C995" s="2">
        <v>25</v>
      </c>
      <c r="D995" s="2">
        <f t="shared" si="174"/>
        <v>625</v>
      </c>
      <c r="E995" s="2">
        <v>83.846100000000007</v>
      </c>
      <c r="F995" s="2">
        <v>177.0522</v>
      </c>
      <c r="G995" s="2">
        <v>7.0536000000000001E-2</v>
      </c>
      <c r="H995" s="2">
        <v>3</v>
      </c>
      <c r="I995" s="3">
        <f t="shared" si="165"/>
        <v>-0.49415924023173263</v>
      </c>
      <c r="J995" s="3">
        <f t="shared" si="166"/>
        <v>-0.57646527401108472</v>
      </c>
      <c r="K995" s="3">
        <f t="shared" si="167"/>
        <v>0.91499996157015984</v>
      </c>
      <c r="L995" s="3">
        <f t="shared" si="168"/>
        <v>-0.27290623001687769</v>
      </c>
      <c r="M995" s="3">
        <f t="shared" si="169"/>
        <v>-1.4675924707407495</v>
      </c>
      <c r="N995" s="3">
        <f t="shared" si="170"/>
        <v>-0.27394055586500432</v>
      </c>
      <c r="O995" s="3">
        <f t="shared" si="171"/>
        <v>0.19057550349524607</v>
      </c>
      <c r="P995" s="3">
        <f t="shared" si="172"/>
        <v>0.54750019941997896</v>
      </c>
      <c r="Q995" s="3">
        <f t="shared" si="173"/>
        <v>-0.79296795654938923</v>
      </c>
      <c r="R995" s="3">
        <f t="shared" si="175"/>
        <v>-0.54750019941997896</v>
      </c>
    </row>
    <row r="996" spans="1:18" x14ac:dyDescent="0.3">
      <c r="A996" s="2">
        <v>992</v>
      </c>
      <c r="B996" s="2">
        <v>1</v>
      </c>
      <c r="C996" s="2">
        <v>25</v>
      </c>
      <c r="D996" s="2">
        <f t="shared" si="174"/>
        <v>625</v>
      </c>
      <c r="E996" s="2">
        <v>65.808199999999999</v>
      </c>
      <c r="F996" s="2">
        <v>193.46180000000001</v>
      </c>
      <c r="G996" s="2">
        <v>0.90942999999999996</v>
      </c>
      <c r="H996" s="2">
        <v>6</v>
      </c>
      <c r="I996" s="3">
        <f t="shared" si="165"/>
        <v>-0.49415924023173263</v>
      </c>
      <c r="J996" s="3">
        <f t="shared" si="166"/>
        <v>-0.57646527401108472</v>
      </c>
      <c r="K996" s="3">
        <f t="shared" si="167"/>
        <v>-0.90836899966372731</v>
      </c>
      <c r="L996" s="3">
        <f t="shared" si="168"/>
        <v>1.3864862875594983</v>
      </c>
      <c r="M996" s="3">
        <f t="shared" si="169"/>
        <v>1.4637136705053195</v>
      </c>
      <c r="N996" s="3">
        <f t="shared" si="170"/>
        <v>1.4896252544247224</v>
      </c>
      <c r="O996" s="3">
        <f t="shared" si="171"/>
        <v>-3.9674380024275549E-2</v>
      </c>
      <c r="P996" s="3">
        <f t="shared" si="172"/>
        <v>0.49008270582486074</v>
      </c>
      <c r="Q996" s="3">
        <f t="shared" si="173"/>
        <v>-0.7131811147227799</v>
      </c>
      <c r="R996" s="3">
        <f t="shared" si="175"/>
        <v>0.50991729417513931</v>
      </c>
    </row>
    <row r="997" spans="1:18" x14ac:dyDescent="0.3">
      <c r="A997" s="2">
        <v>993</v>
      </c>
      <c r="B997" s="2">
        <v>0</v>
      </c>
      <c r="C997" s="2">
        <v>36</v>
      </c>
      <c r="D997" s="2">
        <f t="shared" si="174"/>
        <v>1296</v>
      </c>
      <c r="E997" s="2">
        <v>63.896000000000001</v>
      </c>
      <c r="F997" s="2">
        <v>169.22130000000001</v>
      </c>
      <c r="G997" s="2">
        <v>0.19012899999999999</v>
      </c>
      <c r="H997" s="2">
        <v>1</v>
      </c>
      <c r="I997" s="3">
        <f t="shared" si="165"/>
        <v>1.1882151461963255</v>
      </c>
      <c r="J997" s="3">
        <f t="shared" si="166"/>
        <v>1.2251816929304087</v>
      </c>
      <c r="K997" s="3">
        <f t="shared" si="167"/>
        <v>-1.1016645677548818</v>
      </c>
      <c r="L997" s="3">
        <f t="shared" si="168"/>
        <v>-1.0647924957326058</v>
      </c>
      <c r="M997" s="3">
        <f t="shared" si="169"/>
        <v>-1.0497045190447771</v>
      </c>
      <c r="N997" s="3">
        <f t="shared" si="170"/>
        <v>-1.4496510960581555</v>
      </c>
      <c r="O997" s="3">
        <f t="shared" si="171"/>
        <v>-6.0465291430839216E-2</v>
      </c>
      <c r="P997" s="3">
        <f t="shared" si="172"/>
        <v>0.48488828096364778</v>
      </c>
      <c r="Q997" s="3">
        <f t="shared" si="173"/>
        <v>-0.66337147167667321</v>
      </c>
      <c r="R997" s="3">
        <f t="shared" si="175"/>
        <v>-0.48488828096364778</v>
      </c>
    </row>
    <row r="998" spans="1:18" x14ac:dyDescent="0.3">
      <c r="A998" s="2">
        <v>994</v>
      </c>
      <c r="B998" s="2">
        <v>1</v>
      </c>
      <c r="C998" s="2">
        <v>24</v>
      </c>
      <c r="D998" s="2">
        <f t="shared" si="174"/>
        <v>576</v>
      </c>
      <c r="E998" s="2">
        <v>80.670599999999993</v>
      </c>
      <c r="F998" s="2">
        <v>173.11279999999999</v>
      </c>
      <c r="G998" s="2">
        <v>0.82125000000000004</v>
      </c>
      <c r="H998" s="2">
        <v>4</v>
      </c>
      <c r="I998" s="3">
        <f t="shared" si="165"/>
        <v>-0.64710236627064699</v>
      </c>
      <c r="J998" s="3">
        <f t="shared" si="166"/>
        <v>-0.70803114790099997</v>
      </c>
      <c r="K998" s="3">
        <f t="shared" si="167"/>
        <v>0.59400316391642904</v>
      </c>
      <c r="L998" s="3">
        <f t="shared" si="168"/>
        <v>-0.67127126534622039</v>
      </c>
      <c r="M998" s="3">
        <f t="shared" si="169"/>
        <v>1.1555906233324014</v>
      </c>
      <c r="N998" s="3">
        <f t="shared" si="170"/>
        <v>0.31391471423157125</v>
      </c>
      <c r="O998" s="3">
        <f t="shared" si="171"/>
        <v>6.2377272030373479E-2</v>
      </c>
      <c r="P998" s="3">
        <f t="shared" si="172"/>
        <v>0.51558926361527424</v>
      </c>
      <c r="Q998" s="3">
        <f t="shared" si="173"/>
        <v>-0.6624448312229807</v>
      </c>
      <c r="R998" s="3">
        <f t="shared" si="175"/>
        <v>0.48441073638472576</v>
      </c>
    </row>
    <row r="999" spans="1:18" x14ac:dyDescent="0.3">
      <c r="A999" s="2">
        <v>995</v>
      </c>
      <c r="B999" s="2">
        <v>0</v>
      </c>
      <c r="C999" s="2">
        <v>36</v>
      </c>
      <c r="D999" s="2">
        <f t="shared" si="174"/>
        <v>1296</v>
      </c>
      <c r="E999" s="2">
        <v>61.668399999999998</v>
      </c>
      <c r="F999" s="2">
        <v>167.45699999999999</v>
      </c>
      <c r="G999" s="2">
        <v>0.54463099999999998</v>
      </c>
      <c r="H999" s="2">
        <v>1</v>
      </c>
      <c r="I999" s="3">
        <f t="shared" si="165"/>
        <v>1.1882151461963255</v>
      </c>
      <c r="J999" s="3">
        <f t="shared" si="166"/>
        <v>1.2251816929304087</v>
      </c>
      <c r="K999" s="3">
        <f t="shared" si="167"/>
        <v>-1.3268424819269644</v>
      </c>
      <c r="L999" s="3">
        <f t="shared" si="168"/>
        <v>-1.2432042924101623</v>
      </c>
      <c r="M999" s="3">
        <f t="shared" si="169"/>
        <v>0.18901442480750227</v>
      </c>
      <c r="N999" s="3">
        <f t="shared" si="170"/>
        <v>-1.4496510960581555</v>
      </c>
      <c r="O999" s="3">
        <f t="shared" si="171"/>
        <v>-0.13200916184864819</v>
      </c>
      <c r="P999" s="3">
        <f t="shared" si="172"/>
        <v>0.467045552144982</v>
      </c>
      <c r="Q999" s="3">
        <f t="shared" si="173"/>
        <v>-0.62931932215516684</v>
      </c>
      <c r="R999" s="3">
        <f t="shared" si="175"/>
        <v>-0.467045552144982</v>
      </c>
    </row>
    <row r="1000" spans="1:18" x14ac:dyDescent="0.3">
      <c r="A1000" s="2">
        <v>996</v>
      </c>
      <c r="B1000" s="2">
        <v>0</v>
      </c>
      <c r="C1000" s="2">
        <v>23</v>
      </c>
      <c r="D1000" s="2">
        <f t="shared" si="174"/>
        <v>529</v>
      </c>
      <c r="E1000" s="2">
        <v>99.147900000000007</v>
      </c>
      <c r="F1000" s="2">
        <v>165.29089999999999</v>
      </c>
      <c r="G1000" s="2">
        <v>7.7856999999999996E-2</v>
      </c>
      <c r="H1000" s="2">
        <v>3</v>
      </c>
      <c r="I1000" s="3">
        <f t="shared" si="165"/>
        <v>-0.80004549230956135</v>
      </c>
      <c r="J1000" s="3">
        <f t="shared" si="166"/>
        <v>-0.83422698612193913</v>
      </c>
      <c r="K1000" s="3">
        <f t="shared" si="167"/>
        <v>2.4617890651248242</v>
      </c>
      <c r="L1000" s="3">
        <f t="shared" si="168"/>
        <v>-1.462247421573712</v>
      </c>
      <c r="M1000" s="3">
        <f t="shared" si="169"/>
        <v>-1.4420110596684776</v>
      </c>
      <c r="N1000" s="3">
        <f t="shared" si="170"/>
        <v>-0.27394055586500432</v>
      </c>
      <c r="O1000" s="3">
        <f t="shared" si="171"/>
        <v>0.30897921646889348</v>
      </c>
      <c r="P1000" s="3">
        <f t="shared" si="172"/>
        <v>0.57663607991633392</v>
      </c>
      <c r="Q1000" s="3">
        <f t="shared" si="173"/>
        <v>-0.85952313864153151</v>
      </c>
      <c r="R1000" s="3">
        <f t="shared" si="175"/>
        <v>-0.57663607991633392</v>
      </c>
    </row>
    <row r="1001" spans="1:18" x14ac:dyDescent="0.3">
      <c r="A1001" s="2">
        <v>997</v>
      </c>
      <c r="B1001" s="2">
        <v>1</v>
      </c>
      <c r="C1001" s="2">
        <v>23</v>
      </c>
      <c r="D1001" s="2">
        <f t="shared" si="174"/>
        <v>529</v>
      </c>
      <c r="E1001" s="2">
        <v>75.799899999999994</v>
      </c>
      <c r="F1001" s="2">
        <v>178.13229999999999</v>
      </c>
      <c r="G1001" s="2">
        <v>0.95544799999999996</v>
      </c>
      <c r="H1001" s="2">
        <v>1</v>
      </c>
      <c r="I1001" s="3">
        <f t="shared" si="165"/>
        <v>-0.80004549230956135</v>
      </c>
      <c r="J1001" s="3">
        <f t="shared" si="166"/>
        <v>-0.83422698612193913</v>
      </c>
      <c r="K1001" s="3">
        <f t="shared" si="167"/>
        <v>0.10164633748530957</v>
      </c>
      <c r="L1001" s="3">
        <f t="shared" si="168"/>
        <v>-0.16368297910069315</v>
      </c>
      <c r="M1001" s="3">
        <f t="shared" si="169"/>
        <v>1.6245121098884379</v>
      </c>
      <c r="N1001" s="3">
        <f t="shared" si="170"/>
        <v>-1.4496510960581555</v>
      </c>
      <c r="O1001" s="3">
        <f t="shared" si="171"/>
        <v>7.0415768819724084E-2</v>
      </c>
      <c r="P1001" s="3">
        <f t="shared" si="172"/>
        <v>0.51759667188949832</v>
      </c>
      <c r="Q1001" s="3">
        <f t="shared" si="173"/>
        <v>-0.6585589657050317</v>
      </c>
      <c r="R1001" s="3">
        <f t="shared" si="175"/>
        <v>0.48240332811050168</v>
      </c>
    </row>
    <row r="1002" spans="1:18" x14ac:dyDescent="0.3">
      <c r="A1002" s="2">
        <v>998</v>
      </c>
      <c r="B1002" s="2">
        <v>0</v>
      </c>
      <c r="C1002" s="2">
        <v>20</v>
      </c>
      <c r="D1002" s="2">
        <f t="shared" si="174"/>
        <v>400</v>
      </c>
      <c r="E1002" s="2">
        <v>78.479100000000003</v>
      </c>
      <c r="F1002" s="2">
        <v>173.82390000000001</v>
      </c>
      <c r="G1002" s="2">
        <v>0.24696100000000001</v>
      </c>
      <c r="H1002" s="2">
        <v>1</v>
      </c>
      <c r="I1002" s="3">
        <f t="shared" si="165"/>
        <v>-1.2588748704263044</v>
      </c>
      <c r="J1002" s="3">
        <f t="shared" si="166"/>
        <v>-1.1805942867708998</v>
      </c>
      <c r="K1002" s="3">
        <f t="shared" si="167"/>
        <v>0.37247443393433327</v>
      </c>
      <c r="L1002" s="3">
        <f t="shared" si="168"/>
        <v>-0.59936250344778363</v>
      </c>
      <c r="M1002" s="3">
        <f t="shared" si="169"/>
        <v>-0.8511192500843402</v>
      </c>
      <c r="N1002" s="3">
        <f t="shared" si="170"/>
        <v>-1.4496510960581555</v>
      </c>
      <c r="O1002" s="3">
        <f t="shared" si="171"/>
        <v>0.26770824404782328</v>
      </c>
      <c r="P1002" s="3">
        <f t="shared" si="172"/>
        <v>0.56653019594416754</v>
      </c>
      <c r="Q1002" s="3">
        <f t="shared" si="173"/>
        <v>-0.83593314134489249</v>
      </c>
      <c r="R1002" s="3">
        <f t="shared" si="175"/>
        <v>-0.56653019594416754</v>
      </c>
    </row>
    <row r="1003" spans="1:18" x14ac:dyDescent="0.3">
      <c r="A1003" s="2">
        <v>999</v>
      </c>
      <c r="B1003" s="2">
        <v>1</v>
      </c>
      <c r="C1003" s="2">
        <v>24</v>
      </c>
      <c r="D1003" s="2">
        <f t="shared" si="174"/>
        <v>576</v>
      </c>
      <c r="E1003" s="2">
        <v>66.915800000000004</v>
      </c>
      <c r="F1003" s="2">
        <v>197.61689999999999</v>
      </c>
      <c r="G1003" s="2">
        <v>0.85964499999999999</v>
      </c>
      <c r="H1003" s="2">
        <v>2</v>
      </c>
      <c r="I1003" s="3">
        <f t="shared" si="165"/>
        <v>-0.64710236627064699</v>
      </c>
      <c r="J1003" s="3">
        <f t="shared" si="166"/>
        <v>-0.70803114790099997</v>
      </c>
      <c r="K1003" s="3">
        <f t="shared" si="167"/>
        <v>-0.79640677227236467</v>
      </c>
      <c r="L1003" s="3">
        <f t="shared" si="168"/>
        <v>1.8066636136236045</v>
      </c>
      <c r="M1003" s="3">
        <f t="shared" si="169"/>
        <v>1.2897523878618207</v>
      </c>
      <c r="N1003" s="3">
        <f t="shared" si="170"/>
        <v>-0.86179582596158</v>
      </c>
      <c r="O1003" s="3">
        <f t="shared" si="171"/>
        <v>3.9351194526372597E-2</v>
      </c>
      <c r="P1003" s="3">
        <f t="shared" si="172"/>
        <v>0.50983652932867896</v>
      </c>
      <c r="Q1003" s="3">
        <f t="shared" si="173"/>
        <v>-0.6736651353727996</v>
      </c>
      <c r="R1003" s="3">
        <f t="shared" si="175"/>
        <v>0.49016347067132104</v>
      </c>
    </row>
    <row r="1004" spans="1:18" x14ac:dyDescent="0.3">
      <c r="A1004" s="2">
        <v>1000</v>
      </c>
      <c r="B1004" s="2">
        <v>0</v>
      </c>
      <c r="C1004" s="2">
        <v>36</v>
      </c>
      <c r="D1004" s="2">
        <f t="shared" si="174"/>
        <v>1296</v>
      </c>
      <c r="E1004" s="2">
        <v>71.847399999999993</v>
      </c>
      <c r="F1004" s="2">
        <v>177.17150000000001</v>
      </c>
      <c r="G1004" s="2">
        <v>0.16880999999999999</v>
      </c>
      <c r="H1004" s="2">
        <v>1</v>
      </c>
      <c r="I1004" s="3">
        <f t="shared" si="165"/>
        <v>1.1882151461963255</v>
      </c>
      <c r="J1004" s="3">
        <f t="shared" si="166"/>
        <v>1.2251816929304087</v>
      </c>
      <c r="K1004" s="3">
        <f t="shared" si="167"/>
        <v>-0.29789384287254456</v>
      </c>
      <c r="L1004" s="3">
        <f t="shared" si="168"/>
        <v>-0.26084222313390204</v>
      </c>
      <c r="M1004" s="3">
        <f t="shared" si="169"/>
        <v>-1.1241984546614641</v>
      </c>
      <c r="N1004" s="3">
        <f t="shared" si="170"/>
        <v>-1.4496510960581555</v>
      </c>
      <c r="O1004" s="3">
        <f t="shared" si="171"/>
        <v>1.4029394752851483E-2</v>
      </c>
      <c r="P1004" s="3">
        <f t="shared" si="172"/>
        <v>0.50350729116183612</v>
      </c>
      <c r="Q1004" s="3">
        <f t="shared" si="173"/>
        <v>-0.70018648072424605</v>
      </c>
      <c r="R1004" s="3">
        <f t="shared" si="175"/>
        <v>-0.50350729116183612</v>
      </c>
    </row>
  </sheetData>
  <mergeCells count="3">
    <mergeCell ref="U2:W2"/>
    <mergeCell ref="U10:V10"/>
    <mergeCell ref="U19:V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Descrizione</vt:lpstr>
      <vt:lpstr>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2026-07-14T10:30:02Z</dcterms:created>
  <dcterms:modified xsi:type="dcterms:W3CDTF">2026-09-15T16:23:53Z</dcterms:modified>
  <dc:language>en-US</dc:language>
</cp:coreProperties>
</file>